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760EEFB-435F-43F2-BFFF-5D19DE660B42}" xr6:coauthVersionLast="47" xr6:coauthVersionMax="47" xr10:uidLastSave="{00000000-0000-0000-0000-000000000000}"/>
  <bookViews>
    <workbookView xWindow="20370" yWindow="-120" windowWidth="20640" windowHeight="11040" activeTab="4" xr2:uid="{00000000-000D-0000-FFFF-FFFF00000000}"/>
  </bookViews>
  <sheets>
    <sheet name="Dashboard" sheetId="7" r:id="rId1"/>
    <sheet name="Pivot Charts" sheetId="4" r:id="rId2"/>
    <sheet name="Pivot Tables" sheetId="3" r:id="rId3"/>
    <sheet name="Slicers" sheetId="8" r:id="rId4"/>
    <sheet name="Analysis" sheetId="2" r:id="rId5"/>
    <sheet name="Data" sheetId="1" r:id="rId6"/>
  </sheets>
  <definedNames>
    <definedName name="_xlnm._FilterDatabase" localSheetId="5" hidden="1">Data!$A$1:$AC$1</definedName>
    <definedName name="Slicer_country">#N/A</definedName>
    <definedName name="Slicer_Product">#N/A</definedName>
    <definedName name="Slicer_Segment__Clean">#N/A</definedName>
    <definedName name="Slicer_Year">#N/A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2" i="2" l="1"/>
  <c r="Q13" i="2"/>
  <c r="Q14" i="2"/>
  <c r="Q15" i="2"/>
  <c r="Q16" i="2"/>
  <c r="Q11" i="2"/>
  <c r="Q21" i="2"/>
  <c r="Q22" i="2"/>
  <c r="Q23" i="2"/>
  <c r="Q24" i="2"/>
  <c r="Q20" i="2"/>
  <c r="Q29" i="2"/>
  <c r="Q30" i="2"/>
  <c r="Q31" i="2"/>
  <c r="Q32" i="2"/>
  <c r="Q28" i="2"/>
  <c r="O29" i="2"/>
  <c r="O30" i="2"/>
  <c r="O31" i="2"/>
  <c r="O32" i="2"/>
  <c r="O28" i="2"/>
  <c r="P20" i="2"/>
  <c r="P11" i="2"/>
  <c r="P21" i="2"/>
  <c r="P22" i="2"/>
  <c r="P23" i="2"/>
  <c r="P24" i="2"/>
  <c r="O20" i="2"/>
  <c r="O21" i="2"/>
  <c r="O22" i="2"/>
  <c r="O23" i="2"/>
  <c r="O24" i="2"/>
  <c r="O14" i="2"/>
  <c r="O16" i="2"/>
  <c r="O11" i="2"/>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O7" i="2"/>
  <c r="O3" i="2"/>
  <c r="S1" i="7"/>
  <c r="D2"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M11" i="1"/>
  <c r="I42" i="1"/>
  <c r="I18" i="1"/>
  <c r="I11" i="1"/>
  <c r="H42" i="1"/>
  <c r="G42" i="1"/>
  <c r="O6" i="2" s="1"/>
  <c r="B18" i="1"/>
  <c r="L22" i="2"/>
  <c r="L21" i="2"/>
  <c r="L20" i="2"/>
  <c r="L19" i="2"/>
  <c r="L18" i="2"/>
  <c r="I24" i="2"/>
  <c r="I23" i="2"/>
  <c r="I22" i="2"/>
  <c r="I21" i="2"/>
  <c r="I20" i="2"/>
  <c r="I19" i="2"/>
  <c r="I18" i="2"/>
  <c r="Q33" i="2" l="1"/>
  <c r="O33" i="2"/>
  <c r="P28" i="2" s="1"/>
  <c r="O25" i="2"/>
  <c r="Q25" i="2"/>
  <c r="L23" i="2"/>
  <c r="I25" i="2"/>
  <c r="R22" i="2" l="1"/>
  <c r="R23" i="2"/>
  <c r="R24" i="2"/>
  <c r="R21" i="2"/>
  <c r="R20" i="2"/>
  <c r="R32" i="2"/>
  <c r="R31" i="2"/>
  <c r="R29" i="2"/>
  <c r="R30" i="2"/>
  <c r="R28" i="2"/>
  <c r="P32" i="2"/>
  <c r="P31" i="2"/>
  <c r="P29" i="2"/>
  <c r="P30" i="2"/>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2" i="1"/>
  <c r="J3" i="1"/>
  <c r="L3" i="1" s="1"/>
  <c r="N3" i="1" s="1"/>
  <c r="O3" i="1" s="1"/>
  <c r="J4" i="1"/>
  <c r="L4" i="1" s="1"/>
  <c r="N4" i="1" s="1"/>
  <c r="O4" i="1" s="1"/>
  <c r="J5" i="1"/>
  <c r="L5" i="1" s="1"/>
  <c r="N5" i="1" s="1"/>
  <c r="O5" i="1" s="1"/>
  <c r="J6" i="1"/>
  <c r="L6" i="1" s="1"/>
  <c r="N6" i="1" s="1"/>
  <c r="O6" i="1" s="1"/>
  <c r="J7" i="1"/>
  <c r="L7" i="1" s="1"/>
  <c r="N7" i="1" s="1"/>
  <c r="O7" i="1" s="1"/>
  <c r="J8" i="1"/>
  <c r="L8" i="1" s="1"/>
  <c r="N8" i="1" s="1"/>
  <c r="O8" i="1" s="1"/>
  <c r="J9" i="1"/>
  <c r="L9" i="1" s="1"/>
  <c r="N9" i="1" s="1"/>
  <c r="O9" i="1" s="1"/>
  <c r="J10" i="1"/>
  <c r="L10" i="1" s="1"/>
  <c r="N10" i="1" s="1"/>
  <c r="O10" i="1" s="1"/>
  <c r="J11" i="1"/>
  <c r="L11" i="1" s="1"/>
  <c r="J12" i="1"/>
  <c r="L12" i="1" s="1"/>
  <c r="N12" i="1" s="1"/>
  <c r="O12" i="1" s="1"/>
  <c r="J13" i="1"/>
  <c r="L13" i="1" s="1"/>
  <c r="N13" i="1" s="1"/>
  <c r="O13" i="1" s="1"/>
  <c r="J14" i="1"/>
  <c r="L14" i="1" s="1"/>
  <c r="N14" i="1" s="1"/>
  <c r="O14" i="1" s="1"/>
  <c r="J15" i="1"/>
  <c r="L15" i="1" s="1"/>
  <c r="N15" i="1" s="1"/>
  <c r="O15" i="1" s="1"/>
  <c r="J16" i="1"/>
  <c r="L16" i="1" s="1"/>
  <c r="N16" i="1" s="1"/>
  <c r="O16" i="1" s="1"/>
  <c r="J17" i="1"/>
  <c r="L17" i="1" s="1"/>
  <c r="N17" i="1" s="1"/>
  <c r="O17" i="1" s="1"/>
  <c r="J18" i="1"/>
  <c r="L18" i="1" s="1"/>
  <c r="J19" i="1"/>
  <c r="L19" i="1" s="1"/>
  <c r="N19" i="1" s="1"/>
  <c r="O19" i="1" s="1"/>
  <c r="J20" i="1"/>
  <c r="L20" i="1" s="1"/>
  <c r="N20" i="1" s="1"/>
  <c r="O20" i="1" s="1"/>
  <c r="J21" i="1"/>
  <c r="L21" i="1" s="1"/>
  <c r="N21" i="1" s="1"/>
  <c r="O21" i="1" s="1"/>
  <c r="J22" i="1"/>
  <c r="L22" i="1" s="1"/>
  <c r="N22" i="1" s="1"/>
  <c r="O22" i="1" s="1"/>
  <c r="J23" i="1"/>
  <c r="L23" i="1" s="1"/>
  <c r="N23" i="1" s="1"/>
  <c r="O23" i="1" s="1"/>
  <c r="J24" i="1"/>
  <c r="L24" i="1" s="1"/>
  <c r="N24" i="1" s="1"/>
  <c r="O24" i="1" s="1"/>
  <c r="J25" i="1"/>
  <c r="L25" i="1" s="1"/>
  <c r="N25" i="1" s="1"/>
  <c r="O25" i="1" s="1"/>
  <c r="J26" i="1"/>
  <c r="L26" i="1" s="1"/>
  <c r="N26" i="1" s="1"/>
  <c r="O26" i="1" s="1"/>
  <c r="J27" i="1"/>
  <c r="L27" i="1" s="1"/>
  <c r="N27" i="1" s="1"/>
  <c r="O27" i="1" s="1"/>
  <c r="J28" i="1"/>
  <c r="L28" i="1" s="1"/>
  <c r="N28" i="1" s="1"/>
  <c r="O28" i="1" s="1"/>
  <c r="J29" i="1"/>
  <c r="L29" i="1" s="1"/>
  <c r="N29" i="1" s="1"/>
  <c r="O29" i="1" s="1"/>
  <c r="J30" i="1"/>
  <c r="L30" i="1" s="1"/>
  <c r="N30" i="1" s="1"/>
  <c r="O30" i="1" s="1"/>
  <c r="J31" i="1"/>
  <c r="L31" i="1" s="1"/>
  <c r="N31" i="1" s="1"/>
  <c r="O31" i="1" s="1"/>
  <c r="J32" i="1"/>
  <c r="L32" i="1" s="1"/>
  <c r="N32" i="1" s="1"/>
  <c r="O32" i="1" s="1"/>
  <c r="J33" i="1"/>
  <c r="L33" i="1" s="1"/>
  <c r="N33" i="1" s="1"/>
  <c r="O33" i="1" s="1"/>
  <c r="J34" i="1"/>
  <c r="L34" i="1" s="1"/>
  <c r="N34" i="1" s="1"/>
  <c r="O34" i="1" s="1"/>
  <c r="J35" i="1"/>
  <c r="L35" i="1" s="1"/>
  <c r="N35" i="1" s="1"/>
  <c r="O35" i="1" s="1"/>
  <c r="J36" i="1"/>
  <c r="L36" i="1" s="1"/>
  <c r="N36" i="1" s="1"/>
  <c r="O36" i="1" s="1"/>
  <c r="J37" i="1"/>
  <c r="L37" i="1" s="1"/>
  <c r="N37" i="1" s="1"/>
  <c r="O37" i="1" s="1"/>
  <c r="J38" i="1"/>
  <c r="L38" i="1" s="1"/>
  <c r="N38" i="1" s="1"/>
  <c r="O38" i="1" s="1"/>
  <c r="J39" i="1"/>
  <c r="L39" i="1" s="1"/>
  <c r="N39" i="1" s="1"/>
  <c r="O39" i="1" s="1"/>
  <c r="J40" i="1"/>
  <c r="L40" i="1" s="1"/>
  <c r="N40" i="1" s="1"/>
  <c r="O40" i="1" s="1"/>
  <c r="J41" i="1"/>
  <c r="L41" i="1" s="1"/>
  <c r="N41" i="1" s="1"/>
  <c r="O41" i="1" s="1"/>
  <c r="J42" i="1"/>
  <c r="L42" i="1" s="1"/>
  <c r="J43" i="1"/>
  <c r="L43" i="1" s="1"/>
  <c r="N43" i="1" s="1"/>
  <c r="O43" i="1" s="1"/>
  <c r="J44" i="1"/>
  <c r="L44" i="1" s="1"/>
  <c r="N44" i="1" s="1"/>
  <c r="O44" i="1" s="1"/>
  <c r="J45" i="1"/>
  <c r="L45" i="1" s="1"/>
  <c r="N45" i="1" s="1"/>
  <c r="O45" i="1" s="1"/>
  <c r="J46" i="1"/>
  <c r="L46" i="1" s="1"/>
  <c r="N46" i="1" s="1"/>
  <c r="O46" i="1" s="1"/>
  <c r="J47" i="1"/>
  <c r="L47" i="1" s="1"/>
  <c r="N47" i="1" s="1"/>
  <c r="O47" i="1" s="1"/>
  <c r="J48" i="1"/>
  <c r="L48" i="1" s="1"/>
  <c r="N48" i="1" s="1"/>
  <c r="O48" i="1" s="1"/>
  <c r="J49" i="1"/>
  <c r="L49" i="1" s="1"/>
  <c r="N49" i="1" s="1"/>
  <c r="O49" i="1" s="1"/>
  <c r="J50" i="1"/>
  <c r="L50" i="1" s="1"/>
  <c r="N50" i="1" s="1"/>
  <c r="O50" i="1" s="1"/>
  <c r="J51" i="1"/>
  <c r="L51" i="1" s="1"/>
  <c r="N51" i="1" s="1"/>
  <c r="O51" i="1" s="1"/>
  <c r="J52" i="1"/>
  <c r="L52" i="1" s="1"/>
  <c r="N52" i="1" s="1"/>
  <c r="O52" i="1" s="1"/>
  <c r="J53" i="1"/>
  <c r="L53" i="1" s="1"/>
  <c r="N53" i="1" s="1"/>
  <c r="O53" i="1" s="1"/>
  <c r="J54" i="1"/>
  <c r="L54" i="1" s="1"/>
  <c r="N54" i="1" s="1"/>
  <c r="O54" i="1" s="1"/>
  <c r="J55" i="1"/>
  <c r="L55" i="1" s="1"/>
  <c r="N55" i="1" s="1"/>
  <c r="O55" i="1" s="1"/>
  <c r="J56" i="1"/>
  <c r="L56" i="1" s="1"/>
  <c r="N56" i="1" s="1"/>
  <c r="O56" i="1" s="1"/>
  <c r="J57" i="1"/>
  <c r="L57" i="1" s="1"/>
  <c r="N57" i="1" s="1"/>
  <c r="O57" i="1" s="1"/>
  <c r="J58" i="1"/>
  <c r="L58" i="1" s="1"/>
  <c r="N58" i="1" s="1"/>
  <c r="O58" i="1" s="1"/>
  <c r="J59" i="1"/>
  <c r="L59" i="1" s="1"/>
  <c r="N59" i="1" s="1"/>
  <c r="O59" i="1" s="1"/>
  <c r="J60" i="1"/>
  <c r="L60" i="1" s="1"/>
  <c r="N60" i="1" s="1"/>
  <c r="O60" i="1" s="1"/>
  <c r="J61" i="1"/>
  <c r="L61" i="1" s="1"/>
  <c r="N61" i="1" s="1"/>
  <c r="O61" i="1" s="1"/>
  <c r="J62" i="1"/>
  <c r="L62" i="1" s="1"/>
  <c r="N62" i="1" s="1"/>
  <c r="O62" i="1" s="1"/>
  <c r="J63" i="1"/>
  <c r="L63" i="1" s="1"/>
  <c r="N63" i="1" s="1"/>
  <c r="O63" i="1" s="1"/>
  <c r="J64" i="1"/>
  <c r="L64" i="1" s="1"/>
  <c r="N64" i="1" s="1"/>
  <c r="O64" i="1" s="1"/>
  <c r="J65" i="1"/>
  <c r="L65" i="1" s="1"/>
  <c r="N65" i="1" s="1"/>
  <c r="O65" i="1" s="1"/>
  <c r="J66" i="1"/>
  <c r="L66" i="1" s="1"/>
  <c r="N66" i="1" s="1"/>
  <c r="O66" i="1" s="1"/>
  <c r="J67" i="1"/>
  <c r="L67" i="1" s="1"/>
  <c r="N67" i="1" s="1"/>
  <c r="O67" i="1" s="1"/>
  <c r="J68" i="1"/>
  <c r="L68" i="1" s="1"/>
  <c r="N68" i="1" s="1"/>
  <c r="O68" i="1" s="1"/>
  <c r="J69" i="1"/>
  <c r="L69" i="1" s="1"/>
  <c r="N69" i="1" s="1"/>
  <c r="O69" i="1" s="1"/>
  <c r="J70" i="1"/>
  <c r="L70" i="1" s="1"/>
  <c r="N70" i="1" s="1"/>
  <c r="O70" i="1" s="1"/>
  <c r="J71" i="1"/>
  <c r="L71" i="1" s="1"/>
  <c r="N71" i="1" s="1"/>
  <c r="O71" i="1" s="1"/>
  <c r="J72" i="1"/>
  <c r="L72" i="1" s="1"/>
  <c r="N72" i="1" s="1"/>
  <c r="O72" i="1" s="1"/>
  <c r="J73" i="1"/>
  <c r="L73" i="1" s="1"/>
  <c r="N73" i="1" s="1"/>
  <c r="O73" i="1" s="1"/>
  <c r="J74" i="1"/>
  <c r="L74" i="1" s="1"/>
  <c r="N74" i="1" s="1"/>
  <c r="O74" i="1" s="1"/>
  <c r="J75" i="1"/>
  <c r="L75" i="1" s="1"/>
  <c r="N75" i="1" s="1"/>
  <c r="O75" i="1" s="1"/>
  <c r="J76" i="1"/>
  <c r="L76" i="1" s="1"/>
  <c r="N76" i="1" s="1"/>
  <c r="O76" i="1" s="1"/>
  <c r="J77" i="1"/>
  <c r="L77" i="1" s="1"/>
  <c r="N77" i="1" s="1"/>
  <c r="O77" i="1" s="1"/>
  <c r="J78" i="1"/>
  <c r="L78" i="1" s="1"/>
  <c r="N78" i="1" s="1"/>
  <c r="O78" i="1" s="1"/>
  <c r="J79" i="1"/>
  <c r="L79" i="1" s="1"/>
  <c r="N79" i="1" s="1"/>
  <c r="O79" i="1" s="1"/>
  <c r="J80" i="1"/>
  <c r="L80" i="1" s="1"/>
  <c r="N80" i="1" s="1"/>
  <c r="O80" i="1" s="1"/>
  <c r="J81" i="1"/>
  <c r="L81" i="1" s="1"/>
  <c r="N81" i="1" s="1"/>
  <c r="O81" i="1" s="1"/>
  <c r="J82" i="1"/>
  <c r="L82" i="1" s="1"/>
  <c r="N82" i="1" s="1"/>
  <c r="O82" i="1" s="1"/>
  <c r="J83" i="1"/>
  <c r="L83" i="1" s="1"/>
  <c r="N83" i="1" s="1"/>
  <c r="O83" i="1" s="1"/>
  <c r="J84" i="1"/>
  <c r="L84" i="1" s="1"/>
  <c r="N84" i="1" s="1"/>
  <c r="O84" i="1" s="1"/>
  <c r="J85" i="1"/>
  <c r="L85" i="1" s="1"/>
  <c r="N85" i="1" s="1"/>
  <c r="O85" i="1" s="1"/>
  <c r="J86" i="1"/>
  <c r="L86" i="1" s="1"/>
  <c r="N86" i="1" s="1"/>
  <c r="O86" i="1" s="1"/>
  <c r="J87" i="1"/>
  <c r="L87" i="1" s="1"/>
  <c r="N87" i="1" s="1"/>
  <c r="O87" i="1" s="1"/>
  <c r="J88" i="1"/>
  <c r="L88" i="1" s="1"/>
  <c r="N88" i="1" s="1"/>
  <c r="O88" i="1" s="1"/>
  <c r="J89" i="1"/>
  <c r="L89" i="1" s="1"/>
  <c r="N89" i="1" s="1"/>
  <c r="O89" i="1" s="1"/>
  <c r="J90" i="1"/>
  <c r="L90" i="1" s="1"/>
  <c r="N90" i="1" s="1"/>
  <c r="O90" i="1" s="1"/>
  <c r="J91" i="1"/>
  <c r="L91" i="1" s="1"/>
  <c r="N91" i="1" s="1"/>
  <c r="O91" i="1" s="1"/>
  <c r="J92" i="1"/>
  <c r="L92" i="1" s="1"/>
  <c r="N92" i="1" s="1"/>
  <c r="O92" i="1" s="1"/>
  <c r="J93" i="1"/>
  <c r="L93" i="1" s="1"/>
  <c r="N93" i="1" s="1"/>
  <c r="O93" i="1" s="1"/>
  <c r="J94" i="1"/>
  <c r="L94" i="1" s="1"/>
  <c r="N94" i="1" s="1"/>
  <c r="O94" i="1" s="1"/>
  <c r="J95" i="1"/>
  <c r="L95" i="1" s="1"/>
  <c r="N95" i="1" s="1"/>
  <c r="O95" i="1" s="1"/>
  <c r="J96" i="1"/>
  <c r="L96" i="1" s="1"/>
  <c r="N96" i="1" s="1"/>
  <c r="O96" i="1" s="1"/>
  <c r="J97" i="1"/>
  <c r="L97" i="1" s="1"/>
  <c r="N97" i="1" s="1"/>
  <c r="O97" i="1" s="1"/>
  <c r="J98" i="1"/>
  <c r="L98" i="1" s="1"/>
  <c r="N98" i="1" s="1"/>
  <c r="O98" i="1" s="1"/>
  <c r="J99" i="1"/>
  <c r="L99" i="1" s="1"/>
  <c r="N99" i="1" s="1"/>
  <c r="O99" i="1" s="1"/>
  <c r="J100" i="1"/>
  <c r="L100" i="1" s="1"/>
  <c r="N100" i="1" s="1"/>
  <c r="O100" i="1" s="1"/>
  <c r="J101" i="1"/>
  <c r="L101" i="1" s="1"/>
  <c r="N101" i="1" s="1"/>
  <c r="O101" i="1" s="1"/>
  <c r="J102" i="1"/>
  <c r="L102" i="1" s="1"/>
  <c r="N102" i="1" s="1"/>
  <c r="O102" i="1" s="1"/>
  <c r="J103" i="1"/>
  <c r="L103" i="1" s="1"/>
  <c r="N103" i="1" s="1"/>
  <c r="O103" i="1" s="1"/>
  <c r="J104" i="1"/>
  <c r="L104" i="1" s="1"/>
  <c r="N104" i="1" s="1"/>
  <c r="O104" i="1" s="1"/>
  <c r="J105" i="1"/>
  <c r="L105" i="1" s="1"/>
  <c r="N105" i="1" s="1"/>
  <c r="O105" i="1" s="1"/>
  <c r="J106" i="1"/>
  <c r="L106" i="1" s="1"/>
  <c r="N106" i="1" s="1"/>
  <c r="O106" i="1" s="1"/>
  <c r="J107" i="1"/>
  <c r="L107" i="1" s="1"/>
  <c r="N107" i="1" s="1"/>
  <c r="O107" i="1" s="1"/>
  <c r="J108" i="1"/>
  <c r="L108" i="1" s="1"/>
  <c r="N108" i="1" s="1"/>
  <c r="O108" i="1" s="1"/>
  <c r="J109" i="1"/>
  <c r="L109" i="1" s="1"/>
  <c r="N109" i="1" s="1"/>
  <c r="O109" i="1" s="1"/>
  <c r="J110" i="1"/>
  <c r="L110" i="1" s="1"/>
  <c r="N110" i="1" s="1"/>
  <c r="O110" i="1" s="1"/>
  <c r="J111" i="1"/>
  <c r="L111" i="1" s="1"/>
  <c r="N111" i="1" s="1"/>
  <c r="O111" i="1" s="1"/>
  <c r="J112" i="1"/>
  <c r="L112" i="1" s="1"/>
  <c r="N112" i="1" s="1"/>
  <c r="O112" i="1" s="1"/>
  <c r="J113" i="1"/>
  <c r="L113" i="1" s="1"/>
  <c r="N113" i="1" s="1"/>
  <c r="O113" i="1" s="1"/>
  <c r="J114" i="1"/>
  <c r="L114" i="1" s="1"/>
  <c r="N114" i="1" s="1"/>
  <c r="O114" i="1" s="1"/>
  <c r="J115" i="1"/>
  <c r="L115" i="1" s="1"/>
  <c r="N115" i="1" s="1"/>
  <c r="O115" i="1" s="1"/>
  <c r="J116" i="1"/>
  <c r="L116" i="1" s="1"/>
  <c r="N116" i="1" s="1"/>
  <c r="O116" i="1" s="1"/>
  <c r="J117" i="1"/>
  <c r="L117" i="1" s="1"/>
  <c r="N117" i="1" s="1"/>
  <c r="O117" i="1" s="1"/>
  <c r="J118" i="1"/>
  <c r="L118" i="1" s="1"/>
  <c r="N118" i="1" s="1"/>
  <c r="O118" i="1" s="1"/>
  <c r="J119" i="1"/>
  <c r="L119" i="1" s="1"/>
  <c r="N119" i="1" s="1"/>
  <c r="O119" i="1" s="1"/>
  <c r="J120" i="1"/>
  <c r="L120" i="1" s="1"/>
  <c r="N120" i="1" s="1"/>
  <c r="O120" i="1" s="1"/>
  <c r="J121" i="1"/>
  <c r="L121" i="1" s="1"/>
  <c r="N121" i="1" s="1"/>
  <c r="O121" i="1" s="1"/>
  <c r="J122" i="1"/>
  <c r="L122" i="1" s="1"/>
  <c r="N122" i="1" s="1"/>
  <c r="O122" i="1" s="1"/>
  <c r="J123" i="1"/>
  <c r="L123" i="1" s="1"/>
  <c r="N123" i="1" s="1"/>
  <c r="O123" i="1" s="1"/>
  <c r="J124" i="1"/>
  <c r="L124" i="1" s="1"/>
  <c r="N124" i="1" s="1"/>
  <c r="O124" i="1" s="1"/>
  <c r="J125" i="1"/>
  <c r="L125" i="1" s="1"/>
  <c r="N125" i="1" s="1"/>
  <c r="O125" i="1" s="1"/>
  <c r="J126" i="1"/>
  <c r="L126" i="1" s="1"/>
  <c r="N126" i="1" s="1"/>
  <c r="O126" i="1" s="1"/>
  <c r="J127" i="1"/>
  <c r="L127" i="1" s="1"/>
  <c r="N127" i="1" s="1"/>
  <c r="O127" i="1" s="1"/>
  <c r="J128" i="1"/>
  <c r="L128" i="1" s="1"/>
  <c r="N128" i="1" s="1"/>
  <c r="O128" i="1" s="1"/>
  <c r="J129" i="1"/>
  <c r="L129" i="1" s="1"/>
  <c r="N129" i="1" s="1"/>
  <c r="O129" i="1" s="1"/>
  <c r="J130" i="1"/>
  <c r="L130" i="1" s="1"/>
  <c r="N130" i="1" s="1"/>
  <c r="O130" i="1" s="1"/>
  <c r="J131" i="1"/>
  <c r="L131" i="1" s="1"/>
  <c r="N131" i="1" s="1"/>
  <c r="O131" i="1" s="1"/>
  <c r="J132" i="1"/>
  <c r="L132" i="1" s="1"/>
  <c r="N132" i="1" s="1"/>
  <c r="O132" i="1" s="1"/>
  <c r="J133" i="1"/>
  <c r="L133" i="1" s="1"/>
  <c r="N133" i="1" s="1"/>
  <c r="O133" i="1" s="1"/>
  <c r="J134" i="1"/>
  <c r="L134" i="1" s="1"/>
  <c r="N134" i="1" s="1"/>
  <c r="O134" i="1" s="1"/>
  <c r="J135" i="1"/>
  <c r="L135" i="1" s="1"/>
  <c r="N135" i="1" s="1"/>
  <c r="O135" i="1" s="1"/>
  <c r="J136" i="1"/>
  <c r="L136" i="1" s="1"/>
  <c r="N136" i="1" s="1"/>
  <c r="O136" i="1" s="1"/>
  <c r="J137" i="1"/>
  <c r="L137" i="1" s="1"/>
  <c r="N137" i="1" s="1"/>
  <c r="O137" i="1" s="1"/>
  <c r="J138" i="1"/>
  <c r="L138" i="1" s="1"/>
  <c r="N138" i="1" s="1"/>
  <c r="O138" i="1" s="1"/>
  <c r="J139" i="1"/>
  <c r="L139" i="1" s="1"/>
  <c r="N139" i="1" s="1"/>
  <c r="O139" i="1" s="1"/>
  <c r="J140" i="1"/>
  <c r="L140" i="1" s="1"/>
  <c r="N140" i="1" s="1"/>
  <c r="O140" i="1" s="1"/>
  <c r="J141" i="1"/>
  <c r="L141" i="1" s="1"/>
  <c r="N141" i="1" s="1"/>
  <c r="O141" i="1" s="1"/>
  <c r="J142" i="1"/>
  <c r="L142" i="1" s="1"/>
  <c r="N142" i="1" s="1"/>
  <c r="O142" i="1" s="1"/>
  <c r="J143" i="1"/>
  <c r="L143" i="1" s="1"/>
  <c r="N143" i="1" s="1"/>
  <c r="O143" i="1" s="1"/>
  <c r="J144" i="1"/>
  <c r="L144" i="1" s="1"/>
  <c r="N144" i="1" s="1"/>
  <c r="O144" i="1" s="1"/>
  <c r="J145" i="1"/>
  <c r="L145" i="1" s="1"/>
  <c r="N145" i="1" s="1"/>
  <c r="O145" i="1" s="1"/>
  <c r="J146" i="1"/>
  <c r="L146" i="1" s="1"/>
  <c r="N146" i="1" s="1"/>
  <c r="O146" i="1" s="1"/>
  <c r="J147" i="1"/>
  <c r="L147" i="1" s="1"/>
  <c r="N147" i="1" s="1"/>
  <c r="O147" i="1" s="1"/>
  <c r="J148" i="1"/>
  <c r="L148" i="1" s="1"/>
  <c r="N148" i="1" s="1"/>
  <c r="O148" i="1" s="1"/>
  <c r="J149" i="1"/>
  <c r="L149" i="1" s="1"/>
  <c r="N149" i="1" s="1"/>
  <c r="O149" i="1" s="1"/>
  <c r="J150" i="1"/>
  <c r="L150" i="1" s="1"/>
  <c r="N150" i="1" s="1"/>
  <c r="O150" i="1" s="1"/>
  <c r="J151" i="1"/>
  <c r="L151" i="1" s="1"/>
  <c r="N151" i="1" s="1"/>
  <c r="O151" i="1" s="1"/>
  <c r="J152" i="1"/>
  <c r="L152" i="1" s="1"/>
  <c r="N152" i="1" s="1"/>
  <c r="O152" i="1" s="1"/>
  <c r="J153" i="1"/>
  <c r="L153" i="1" s="1"/>
  <c r="N153" i="1" s="1"/>
  <c r="O153" i="1" s="1"/>
  <c r="J154" i="1"/>
  <c r="L154" i="1" s="1"/>
  <c r="N154" i="1" s="1"/>
  <c r="O154" i="1" s="1"/>
  <c r="J155" i="1"/>
  <c r="L155" i="1" s="1"/>
  <c r="N155" i="1" s="1"/>
  <c r="O155" i="1" s="1"/>
  <c r="J156" i="1"/>
  <c r="L156" i="1" s="1"/>
  <c r="N156" i="1" s="1"/>
  <c r="O156" i="1" s="1"/>
  <c r="J157" i="1"/>
  <c r="L157" i="1" s="1"/>
  <c r="N157" i="1" s="1"/>
  <c r="O157" i="1" s="1"/>
  <c r="J158" i="1"/>
  <c r="L158" i="1" s="1"/>
  <c r="N158" i="1" s="1"/>
  <c r="O158" i="1" s="1"/>
  <c r="J159" i="1"/>
  <c r="L159" i="1" s="1"/>
  <c r="N159" i="1" s="1"/>
  <c r="O159" i="1" s="1"/>
  <c r="J160" i="1"/>
  <c r="L160" i="1" s="1"/>
  <c r="N160" i="1" s="1"/>
  <c r="O160" i="1" s="1"/>
  <c r="J161" i="1"/>
  <c r="L161" i="1" s="1"/>
  <c r="N161" i="1" s="1"/>
  <c r="O161" i="1" s="1"/>
  <c r="J162" i="1"/>
  <c r="L162" i="1" s="1"/>
  <c r="N162" i="1" s="1"/>
  <c r="O162" i="1" s="1"/>
  <c r="J163" i="1"/>
  <c r="L163" i="1" s="1"/>
  <c r="N163" i="1" s="1"/>
  <c r="O163" i="1" s="1"/>
  <c r="J164" i="1"/>
  <c r="L164" i="1" s="1"/>
  <c r="N164" i="1" s="1"/>
  <c r="O164" i="1" s="1"/>
  <c r="J165" i="1"/>
  <c r="L165" i="1" s="1"/>
  <c r="N165" i="1" s="1"/>
  <c r="O165" i="1" s="1"/>
  <c r="J166" i="1"/>
  <c r="L166" i="1" s="1"/>
  <c r="N166" i="1" s="1"/>
  <c r="O166" i="1" s="1"/>
  <c r="J167" i="1"/>
  <c r="L167" i="1" s="1"/>
  <c r="N167" i="1" s="1"/>
  <c r="O167" i="1" s="1"/>
  <c r="J168" i="1"/>
  <c r="L168" i="1" s="1"/>
  <c r="N168" i="1" s="1"/>
  <c r="O168" i="1" s="1"/>
  <c r="J169" i="1"/>
  <c r="L169" i="1" s="1"/>
  <c r="N169" i="1" s="1"/>
  <c r="O169" i="1" s="1"/>
  <c r="J170" i="1"/>
  <c r="L170" i="1" s="1"/>
  <c r="N170" i="1" s="1"/>
  <c r="O170" i="1" s="1"/>
  <c r="J171" i="1"/>
  <c r="L171" i="1" s="1"/>
  <c r="N171" i="1" s="1"/>
  <c r="O171" i="1" s="1"/>
  <c r="J172" i="1"/>
  <c r="L172" i="1" s="1"/>
  <c r="N172" i="1" s="1"/>
  <c r="O172" i="1" s="1"/>
  <c r="J173" i="1"/>
  <c r="L173" i="1" s="1"/>
  <c r="N173" i="1" s="1"/>
  <c r="O173" i="1" s="1"/>
  <c r="J174" i="1"/>
  <c r="L174" i="1" s="1"/>
  <c r="N174" i="1" s="1"/>
  <c r="O174" i="1" s="1"/>
  <c r="J175" i="1"/>
  <c r="L175" i="1" s="1"/>
  <c r="N175" i="1" s="1"/>
  <c r="O175" i="1" s="1"/>
  <c r="J176" i="1"/>
  <c r="L176" i="1" s="1"/>
  <c r="N176" i="1" s="1"/>
  <c r="O176" i="1" s="1"/>
  <c r="J177" i="1"/>
  <c r="L177" i="1" s="1"/>
  <c r="N177" i="1" s="1"/>
  <c r="O177" i="1" s="1"/>
  <c r="J178" i="1"/>
  <c r="L178" i="1" s="1"/>
  <c r="N178" i="1" s="1"/>
  <c r="O178" i="1" s="1"/>
  <c r="J179" i="1"/>
  <c r="L179" i="1" s="1"/>
  <c r="N179" i="1" s="1"/>
  <c r="O179" i="1" s="1"/>
  <c r="J180" i="1"/>
  <c r="L180" i="1" s="1"/>
  <c r="N180" i="1" s="1"/>
  <c r="O180" i="1" s="1"/>
  <c r="J181" i="1"/>
  <c r="L181" i="1" s="1"/>
  <c r="N181" i="1" s="1"/>
  <c r="O181" i="1" s="1"/>
  <c r="J182" i="1"/>
  <c r="L182" i="1" s="1"/>
  <c r="N182" i="1" s="1"/>
  <c r="O182" i="1" s="1"/>
  <c r="J183" i="1"/>
  <c r="L183" i="1" s="1"/>
  <c r="N183" i="1" s="1"/>
  <c r="O183" i="1" s="1"/>
  <c r="J184" i="1"/>
  <c r="L184" i="1" s="1"/>
  <c r="N184" i="1" s="1"/>
  <c r="O184" i="1" s="1"/>
  <c r="J185" i="1"/>
  <c r="L185" i="1" s="1"/>
  <c r="N185" i="1" s="1"/>
  <c r="O185" i="1" s="1"/>
  <c r="J186" i="1"/>
  <c r="L186" i="1" s="1"/>
  <c r="N186" i="1" s="1"/>
  <c r="O186" i="1" s="1"/>
  <c r="J187" i="1"/>
  <c r="L187" i="1" s="1"/>
  <c r="N187" i="1" s="1"/>
  <c r="O187" i="1" s="1"/>
  <c r="J188" i="1"/>
  <c r="L188" i="1" s="1"/>
  <c r="N188" i="1" s="1"/>
  <c r="O188" i="1" s="1"/>
  <c r="J189" i="1"/>
  <c r="L189" i="1" s="1"/>
  <c r="N189" i="1" s="1"/>
  <c r="O189" i="1" s="1"/>
  <c r="J190" i="1"/>
  <c r="L190" i="1" s="1"/>
  <c r="N190" i="1" s="1"/>
  <c r="O190" i="1" s="1"/>
  <c r="J191" i="1"/>
  <c r="L191" i="1" s="1"/>
  <c r="N191" i="1" s="1"/>
  <c r="O191" i="1" s="1"/>
  <c r="J192" i="1"/>
  <c r="L192" i="1" s="1"/>
  <c r="N192" i="1" s="1"/>
  <c r="O192" i="1" s="1"/>
  <c r="J193" i="1"/>
  <c r="L193" i="1" s="1"/>
  <c r="N193" i="1" s="1"/>
  <c r="O193" i="1" s="1"/>
  <c r="J194" i="1"/>
  <c r="L194" i="1" s="1"/>
  <c r="N194" i="1" s="1"/>
  <c r="O194" i="1" s="1"/>
  <c r="J195" i="1"/>
  <c r="L195" i="1" s="1"/>
  <c r="N195" i="1" s="1"/>
  <c r="O195" i="1" s="1"/>
  <c r="J196" i="1"/>
  <c r="L196" i="1" s="1"/>
  <c r="N196" i="1" s="1"/>
  <c r="O196" i="1" s="1"/>
  <c r="J197" i="1"/>
  <c r="L197" i="1" s="1"/>
  <c r="N197" i="1" s="1"/>
  <c r="O197" i="1" s="1"/>
  <c r="J198" i="1"/>
  <c r="L198" i="1" s="1"/>
  <c r="N198" i="1" s="1"/>
  <c r="O198" i="1" s="1"/>
  <c r="J199" i="1"/>
  <c r="L199" i="1" s="1"/>
  <c r="N199" i="1" s="1"/>
  <c r="O199" i="1" s="1"/>
  <c r="J200" i="1"/>
  <c r="L200" i="1" s="1"/>
  <c r="N200" i="1" s="1"/>
  <c r="O200" i="1" s="1"/>
  <c r="J201" i="1"/>
  <c r="L201" i="1" s="1"/>
  <c r="N201" i="1" s="1"/>
  <c r="O201" i="1" s="1"/>
  <c r="J202" i="1"/>
  <c r="L202" i="1" s="1"/>
  <c r="N202" i="1" s="1"/>
  <c r="O202" i="1" s="1"/>
  <c r="J203" i="1"/>
  <c r="L203" i="1" s="1"/>
  <c r="N203" i="1" s="1"/>
  <c r="O203" i="1" s="1"/>
  <c r="J204" i="1"/>
  <c r="L204" i="1" s="1"/>
  <c r="N204" i="1" s="1"/>
  <c r="O204" i="1" s="1"/>
  <c r="J205" i="1"/>
  <c r="L205" i="1" s="1"/>
  <c r="N205" i="1" s="1"/>
  <c r="O205" i="1" s="1"/>
  <c r="J206" i="1"/>
  <c r="L206" i="1" s="1"/>
  <c r="N206" i="1" s="1"/>
  <c r="O206" i="1" s="1"/>
  <c r="J207" i="1"/>
  <c r="L207" i="1" s="1"/>
  <c r="N207" i="1" s="1"/>
  <c r="O207" i="1" s="1"/>
  <c r="J208" i="1"/>
  <c r="L208" i="1" s="1"/>
  <c r="N208" i="1" s="1"/>
  <c r="O208" i="1" s="1"/>
  <c r="J209" i="1"/>
  <c r="L209" i="1" s="1"/>
  <c r="N209" i="1" s="1"/>
  <c r="O209" i="1" s="1"/>
  <c r="J210" i="1"/>
  <c r="L210" i="1" s="1"/>
  <c r="N210" i="1" s="1"/>
  <c r="O210" i="1" s="1"/>
  <c r="J211" i="1"/>
  <c r="L211" i="1" s="1"/>
  <c r="N211" i="1" s="1"/>
  <c r="O211" i="1" s="1"/>
  <c r="J212" i="1"/>
  <c r="L212" i="1" s="1"/>
  <c r="N212" i="1" s="1"/>
  <c r="O212" i="1" s="1"/>
  <c r="J213" i="1"/>
  <c r="L213" i="1" s="1"/>
  <c r="N213" i="1" s="1"/>
  <c r="O213" i="1" s="1"/>
  <c r="J214" i="1"/>
  <c r="L214" i="1" s="1"/>
  <c r="N214" i="1" s="1"/>
  <c r="O214" i="1" s="1"/>
  <c r="J215" i="1"/>
  <c r="L215" i="1" s="1"/>
  <c r="N215" i="1" s="1"/>
  <c r="O215" i="1" s="1"/>
  <c r="J216" i="1"/>
  <c r="L216" i="1" s="1"/>
  <c r="N216" i="1" s="1"/>
  <c r="O216" i="1" s="1"/>
  <c r="J217" i="1"/>
  <c r="L217" i="1" s="1"/>
  <c r="N217" i="1" s="1"/>
  <c r="O217" i="1" s="1"/>
  <c r="J218" i="1"/>
  <c r="L218" i="1" s="1"/>
  <c r="N218" i="1" s="1"/>
  <c r="O218" i="1" s="1"/>
  <c r="J219" i="1"/>
  <c r="L219" i="1" s="1"/>
  <c r="N219" i="1" s="1"/>
  <c r="O219" i="1" s="1"/>
  <c r="J220" i="1"/>
  <c r="L220" i="1" s="1"/>
  <c r="N220" i="1" s="1"/>
  <c r="O220" i="1" s="1"/>
  <c r="J221" i="1"/>
  <c r="L221" i="1" s="1"/>
  <c r="N221" i="1" s="1"/>
  <c r="O221" i="1" s="1"/>
  <c r="J222" i="1"/>
  <c r="L222" i="1" s="1"/>
  <c r="N222" i="1" s="1"/>
  <c r="O222" i="1" s="1"/>
  <c r="J223" i="1"/>
  <c r="L223" i="1" s="1"/>
  <c r="N223" i="1" s="1"/>
  <c r="O223" i="1" s="1"/>
  <c r="J224" i="1"/>
  <c r="L224" i="1" s="1"/>
  <c r="N224" i="1" s="1"/>
  <c r="O224" i="1" s="1"/>
  <c r="J225" i="1"/>
  <c r="L225" i="1" s="1"/>
  <c r="N225" i="1" s="1"/>
  <c r="O225" i="1" s="1"/>
  <c r="J226" i="1"/>
  <c r="L226" i="1" s="1"/>
  <c r="N226" i="1" s="1"/>
  <c r="O226" i="1" s="1"/>
  <c r="J227" i="1"/>
  <c r="L227" i="1" s="1"/>
  <c r="N227" i="1" s="1"/>
  <c r="O227" i="1" s="1"/>
  <c r="J228" i="1"/>
  <c r="L228" i="1" s="1"/>
  <c r="N228" i="1" s="1"/>
  <c r="O228" i="1" s="1"/>
  <c r="J229" i="1"/>
  <c r="L229" i="1" s="1"/>
  <c r="N229" i="1" s="1"/>
  <c r="O229" i="1" s="1"/>
  <c r="J230" i="1"/>
  <c r="L230" i="1" s="1"/>
  <c r="N230" i="1" s="1"/>
  <c r="O230" i="1" s="1"/>
  <c r="J231" i="1"/>
  <c r="L231" i="1" s="1"/>
  <c r="N231" i="1" s="1"/>
  <c r="O231" i="1" s="1"/>
  <c r="J232" i="1"/>
  <c r="L232" i="1" s="1"/>
  <c r="N232" i="1" s="1"/>
  <c r="O232" i="1" s="1"/>
  <c r="J233" i="1"/>
  <c r="L233" i="1" s="1"/>
  <c r="N233" i="1" s="1"/>
  <c r="O233" i="1" s="1"/>
  <c r="J234" i="1"/>
  <c r="L234" i="1" s="1"/>
  <c r="N234" i="1" s="1"/>
  <c r="O234" i="1" s="1"/>
  <c r="J235" i="1"/>
  <c r="L235" i="1" s="1"/>
  <c r="N235" i="1" s="1"/>
  <c r="O235" i="1" s="1"/>
  <c r="J236" i="1"/>
  <c r="L236" i="1" s="1"/>
  <c r="N236" i="1" s="1"/>
  <c r="O236" i="1" s="1"/>
  <c r="J237" i="1"/>
  <c r="L237" i="1" s="1"/>
  <c r="N237" i="1" s="1"/>
  <c r="O237" i="1" s="1"/>
  <c r="J238" i="1"/>
  <c r="L238" i="1" s="1"/>
  <c r="N238" i="1" s="1"/>
  <c r="O238" i="1" s="1"/>
  <c r="J239" i="1"/>
  <c r="L239" i="1" s="1"/>
  <c r="N239" i="1" s="1"/>
  <c r="O239" i="1" s="1"/>
  <c r="J240" i="1"/>
  <c r="L240" i="1" s="1"/>
  <c r="N240" i="1" s="1"/>
  <c r="O240" i="1" s="1"/>
  <c r="J241" i="1"/>
  <c r="L241" i="1" s="1"/>
  <c r="N241" i="1" s="1"/>
  <c r="O241" i="1" s="1"/>
  <c r="J242" i="1"/>
  <c r="L242" i="1" s="1"/>
  <c r="N242" i="1" s="1"/>
  <c r="O242" i="1" s="1"/>
  <c r="J243" i="1"/>
  <c r="L243" i="1" s="1"/>
  <c r="N243" i="1" s="1"/>
  <c r="O243" i="1" s="1"/>
  <c r="J244" i="1"/>
  <c r="L244" i="1" s="1"/>
  <c r="N244" i="1" s="1"/>
  <c r="O244" i="1" s="1"/>
  <c r="J245" i="1"/>
  <c r="L245" i="1" s="1"/>
  <c r="N245" i="1" s="1"/>
  <c r="O245" i="1" s="1"/>
  <c r="J246" i="1"/>
  <c r="L246" i="1" s="1"/>
  <c r="N246" i="1" s="1"/>
  <c r="O246" i="1" s="1"/>
  <c r="J247" i="1"/>
  <c r="L247" i="1" s="1"/>
  <c r="N247" i="1" s="1"/>
  <c r="O247" i="1" s="1"/>
  <c r="J248" i="1"/>
  <c r="L248" i="1" s="1"/>
  <c r="N248" i="1" s="1"/>
  <c r="O248" i="1" s="1"/>
  <c r="J249" i="1"/>
  <c r="L249" i="1" s="1"/>
  <c r="N249" i="1" s="1"/>
  <c r="O249" i="1" s="1"/>
  <c r="J250" i="1"/>
  <c r="L250" i="1" s="1"/>
  <c r="N250" i="1" s="1"/>
  <c r="O250" i="1" s="1"/>
  <c r="J251" i="1"/>
  <c r="L251" i="1" s="1"/>
  <c r="N251" i="1" s="1"/>
  <c r="O251" i="1" s="1"/>
  <c r="J252" i="1"/>
  <c r="L252" i="1" s="1"/>
  <c r="N252" i="1" s="1"/>
  <c r="O252" i="1" s="1"/>
  <c r="J253" i="1"/>
  <c r="L253" i="1" s="1"/>
  <c r="N253" i="1" s="1"/>
  <c r="O253" i="1" s="1"/>
  <c r="J254" i="1"/>
  <c r="L254" i="1" s="1"/>
  <c r="N254" i="1" s="1"/>
  <c r="O254" i="1" s="1"/>
  <c r="J255" i="1"/>
  <c r="L255" i="1" s="1"/>
  <c r="N255" i="1" s="1"/>
  <c r="O255" i="1" s="1"/>
  <c r="J256" i="1"/>
  <c r="L256" i="1" s="1"/>
  <c r="N256" i="1" s="1"/>
  <c r="O256" i="1" s="1"/>
  <c r="J257" i="1"/>
  <c r="L257" i="1" s="1"/>
  <c r="N257" i="1" s="1"/>
  <c r="O257" i="1" s="1"/>
  <c r="J258" i="1"/>
  <c r="L258" i="1" s="1"/>
  <c r="N258" i="1" s="1"/>
  <c r="O258" i="1" s="1"/>
  <c r="J259" i="1"/>
  <c r="L259" i="1" s="1"/>
  <c r="N259" i="1" s="1"/>
  <c r="O259" i="1" s="1"/>
  <c r="J260" i="1"/>
  <c r="L260" i="1" s="1"/>
  <c r="N260" i="1" s="1"/>
  <c r="O260" i="1" s="1"/>
  <c r="J261" i="1"/>
  <c r="L261" i="1" s="1"/>
  <c r="N261" i="1" s="1"/>
  <c r="O261" i="1" s="1"/>
  <c r="J262" i="1"/>
  <c r="L262" i="1" s="1"/>
  <c r="N262" i="1" s="1"/>
  <c r="O262" i="1" s="1"/>
  <c r="J263" i="1"/>
  <c r="L263" i="1" s="1"/>
  <c r="N263" i="1" s="1"/>
  <c r="O263" i="1" s="1"/>
  <c r="J264" i="1"/>
  <c r="L264" i="1" s="1"/>
  <c r="N264" i="1" s="1"/>
  <c r="O264" i="1" s="1"/>
  <c r="J265" i="1"/>
  <c r="L265" i="1" s="1"/>
  <c r="N265" i="1" s="1"/>
  <c r="O265" i="1" s="1"/>
  <c r="J266" i="1"/>
  <c r="L266" i="1" s="1"/>
  <c r="N266" i="1" s="1"/>
  <c r="O266" i="1" s="1"/>
  <c r="J267" i="1"/>
  <c r="L267" i="1" s="1"/>
  <c r="N267" i="1" s="1"/>
  <c r="O267" i="1" s="1"/>
  <c r="J268" i="1"/>
  <c r="L268" i="1" s="1"/>
  <c r="N268" i="1" s="1"/>
  <c r="O268" i="1" s="1"/>
  <c r="J269" i="1"/>
  <c r="L269" i="1" s="1"/>
  <c r="N269" i="1" s="1"/>
  <c r="O269" i="1" s="1"/>
  <c r="J270" i="1"/>
  <c r="L270" i="1" s="1"/>
  <c r="N270" i="1" s="1"/>
  <c r="O270" i="1" s="1"/>
  <c r="J271" i="1"/>
  <c r="L271" i="1" s="1"/>
  <c r="N271" i="1" s="1"/>
  <c r="O271" i="1" s="1"/>
  <c r="J272" i="1"/>
  <c r="L272" i="1" s="1"/>
  <c r="N272" i="1" s="1"/>
  <c r="O272" i="1" s="1"/>
  <c r="J273" i="1"/>
  <c r="L273" i="1" s="1"/>
  <c r="N273" i="1" s="1"/>
  <c r="O273" i="1" s="1"/>
  <c r="J274" i="1"/>
  <c r="L274" i="1" s="1"/>
  <c r="N274" i="1" s="1"/>
  <c r="O274" i="1" s="1"/>
  <c r="J275" i="1"/>
  <c r="L275" i="1" s="1"/>
  <c r="N275" i="1" s="1"/>
  <c r="O275" i="1" s="1"/>
  <c r="J276" i="1"/>
  <c r="L276" i="1" s="1"/>
  <c r="N276" i="1" s="1"/>
  <c r="O276" i="1" s="1"/>
  <c r="J277" i="1"/>
  <c r="L277" i="1" s="1"/>
  <c r="N277" i="1" s="1"/>
  <c r="O277" i="1" s="1"/>
  <c r="J278" i="1"/>
  <c r="L278" i="1" s="1"/>
  <c r="N278" i="1" s="1"/>
  <c r="O278" i="1" s="1"/>
  <c r="J279" i="1"/>
  <c r="L279" i="1" s="1"/>
  <c r="N279" i="1" s="1"/>
  <c r="O279" i="1" s="1"/>
  <c r="J280" i="1"/>
  <c r="L280" i="1" s="1"/>
  <c r="N280" i="1" s="1"/>
  <c r="O280" i="1" s="1"/>
  <c r="J281" i="1"/>
  <c r="L281" i="1" s="1"/>
  <c r="N281" i="1" s="1"/>
  <c r="O281" i="1" s="1"/>
  <c r="J282" i="1"/>
  <c r="L282" i="1" s="1"/>
  <c r="N282" i="1" s="1"/>
  <c r="O282" i="1" s="1"/>
  <c r="J283" i="1"/>
  <c r="L283" i="1" s="1"/>
  <c r="N283" i="1" s="1"/>
  <c r="O283" i="1" s="1"/>
  <c r="J284" i="1"/>
  <c r="L284" i="1" s="1"/>
  <c r="N284" i="1" s="1"/>
  <c r="O284" i="1" s="1"/>
  <c r="J285" i="1"/>
  <c r="L285" i="1" s="1"/>
  <c r="N285" i="1" s="1"/>
  <c r="O285" i="1" s="1"/>
  <c r="J286" i="1"/>
  <c r="L286" i="1" s="1"/>
  <c r="N286" i="1" s="1"/>
  <c r="O286" i="1" s="1"/>
  <c r="J287" i="1"/>
  <c r="L287" i="1" s="1"/>
  <c r="N287" i="1" s="1"/>
  <c r="O287" i="1" s="1"/>
  <c r="J288" i="1"/>
  <c r="L288" i="1" s="1"/>
  <c r="N288" i="1" s="1"/>
  <c r="O288" i="1" s="1"/>
  <c r="J289" i="1"/>
  <c r="L289" i="1" s="1"/>
  <c r="N289" i="1" s="1"/>
  <c r="O289" i="1" s="1"/>
  <c r="J290" i="1"/>
  <c r="L290" i="1" s="1"/>
  <c r="N290" i="1" s="1"/>
  <c r="O290" i="1" s="1"/>
  <c r="J291" i="1"/>
  <c r="L291" i="1" s="1"/>
  <c r="N291" i="1" s="1"/>
  <c r="O291" i="1" s="1"/>
  <c r="J292" i="1"/>
  <c r="L292" i="1" s="1"/>
  <c r="N292" i="1" s="1"/>
  <c r="O292" i="1" s="1"/>
  <c r="J293" i="1"/>
  <c r="L293" i="1" s="1"/>
  <c r="N293" i="1" s="1"/>
  <c r="O293" i="1" s="1"/>
  <c r="J294" i="1"/>
  <c r="L294" i="1" s="1"/>
  <c r="N294" i="1" s="1"/>
  <c r="O294" i="1" s="1"/>
  <c r="J295" i="1"/>
  <c r="L295" i="1" s="1"/>
  <c r="N295" i="1" s="1"/>
  <c r="O295" i="1" s="1"/>
  <c r="J296" i="1"/>
  <c r="L296" i="1" s="1"/>
  <c r="N296" i="1" s="1"/>
  <c r="O296" i="1" s="1"/>
  <c r="J297" i="1"/>
  <c r="L297" i="1" s="1"/>
  <c r="N297" i="1" s="1"/>
  <c r="O297" i="1" s="1"/>
  <c r="J298" i="1"/>
  <c r="L298" i="1" s="1"/>
  <c r="N298" i="1" s="1"/>
  <c r="O298" i="1" s="1"/>
  <c r="J299" i="1"/>
  <c r="L299" i="1" s="1"/>
  <c r="N299" i="1" s="1"/>
  <c r="O299" i="1" s="1"/>
  <c r="J300" i="1"/>
  <c r="L300" i="1" s="1"/>
  <c r="N300" i="1" s="1"/>
  <c r="O300" i="1" s="1"/>
  <c r="J301" i="1"/>
  <c r="L301" i="1" s="1"/>
  <c r="N301" i="1" s="1"/>
  <c r="O301" i="1" s="1"/>
  <c r="J302" i="1"/>
  <c r="L302" i="1" s="1"/>
  <c r="N302" i="1" s="1"/>
  <c r="O302" i="1" s="1"/>
  <c r="J303" i="1"/>
  <c r="L303" i="1" s="1"/>
  <c r="N303" i="1" s="1"/>
  <c r="O303" i="1" s="1"/>
  <c r="J304" i="1"/>
  <c r="L304" i="1" s="1"/>
  <c r="N304" i="1" s="1"/>
  <c r="O304" i="1" s="1"/>
  <c r="J305" i="1"/>
  <c r="L305" i="1" s="1"/>
  <c r="N305" i="1" s="1"/>
  <c r="O305" i="1" s="1"/>
  <c r="J306" i="1"/>
  <c r="L306" i="1" s="1"/>
  <c r="N306" i="1" s="1"/>
  <c r="O306" i="1" s="1"/>
  <c r="J307" i="1"/>
  <c r="L307" i="1" s="1"/>
  <c r="N307" i="1" s="1"/>
  <c r="O307" i="1" s="1"/>
  <c r="J308" i="1"/>
  <c r="L308" i="1" s="1"/>
  <c r="N308" i="1" s="1"/>
  <c r="O308" i="1" s="1"/>
  <c r="J309" i="1"/>
  <c r="L309" i="1" s="1"/>
  <c r="N309" i="1" s="1"/>
  <c r="O309" i="1" s="1"/>
  <c r="J310" i="1"/>
  <c r="L310" i="1" s="1"/>
  <c r="N310" i="1" s="1"/>
  <c r="O310" i="1" s="1"/>
  <c r="J311" i="1"/>
  <c r="L311" i="1" s="1"/>
  <c r="N311" i="1" s="1"/>
  <c r="O311" i="1" s="1"/>
  <c r="J312" i="1"/>
  <c r="L312" i="1" s="1"/>
  <c r="N312" i="1" s="1"/>
  <c r="O312" i="1" s="1"/>
  <c r="J313" i="1"/>
  <c r="L313" i="1" s="1"/>
  <c r="N313" i="1" s="1"/>
  <c r="O313" i="1" s="1"/>
  <c r="J314" i="1"/>
  <c r="L314" i="1" s="1"/>
  <c r="N314" i="1" s="1"/>
  <c r="O314" i="1" s="1"/>
  <c r="J315" i="1"/>
  <c r="L315" i="1" s="1"/>
  <c r="N315" i="1" s="1"/>
  <c r="O315" i="1" s="1"/>
  <c r="J316" i="1"/>
  <c r="L316" i="1" s="1"/>
  <c r="N316" i="1" s="1"/>
  <c r="O316" i="1" s="1"/>
  <c r="J317" i="1"/>
  <c r="L317" i="1" s="1"/>
  <c r="N317" i="1" s="1"/>
  <c r="O317" i="1" s="1"/>
  <c r="J318" i="1"/>
  <c r="L318" i="1" s="1"/>
  <c r="N318" i="1" s="1"/>
  <c r="O318" i="1" s="1"/>
  <c r="J319" i="1"/>
  <c r="L319" i="1" s="1"/>
  <c r="N319" i="1" s="1"/>
  <c r="O319" i="1" s="1"/>
  <c r="J320" i="1"/>
  <c r="L320" i="1" s="1"/>
  <c r="N320" i="1" s="1"/>
  <c r="O320" i="1" s="1"/>
  <c r="J321" i="1"/>
  <c r="L321" i="1" s="1"/>
  <c r="N321" i="1" s="1"/>
  <c r="O321" i="1" s="1"/>
  <c r="J322" i="1"/>
  <c r="L322" i="1" s="1"/>
  <c r="N322" i="1" s="1"/>
  <c r="O322" i="1" s="1"/>
  <c r="J323" i="1"/>
  <c r="L323" i="1" s="1"/>
  <c r="N323" i="1" s="1"/>
  <c r="O323" i="1" s="1"/>
  <c r="J324" i="1"/>
  <c r="L324" i="1" s="1"/>
  <c r="N324" i="1" s="1"/>
  <c r="O324" i="1" s="1"/>
  <c r="J325" i="1"/>
  <c r="L325" i="1" s="1"/>
  <c r="N325" i="1" s="1"/>
  <c r="O325" i="1" s="1"/>
  <c r="J326" i="1"/>
  <c r="L326" i="1" s="1"/>
  <c r="N326" i="1" s="1"/>
  <c r="O326" i="1" s="1"/>
  <c r="J327" i="1"/>
  <c r="L327" i="1" s="1"/>
  <c r="N327" i="1" s="1"/>
  <c r="O327" i="1" s="1"/>
  <c r="J328" i="1"/>
  <c r="L328" i="1" s="1"/>
  <c r="N328" i="1" s="1"/>
  <c r="O328" i="1" s="1"/>
  <c r="J329" i="1"/>
  <c r="L329" i="1" s="1"/>
  <c r="N329" i="1" s="1"/>
  <c r="O329" i="1" s="1"/>
  <c r="J330" i="1"/>
  <c r="L330" i="1" s="1"/>
  <c r="N330" i="1" s="1"/>
  <c r="O330" i="1" s="1"/>
  <c r="J331" i="1"/>
  <c r="L331" i="1" s="1"/>
  <c r="N331" i="1" s="1"/>
  <c r="O331" i="1" s="1"/>
  <c r="J332" i="1"/>
  <c r="L332" i="1" s="1"/>
  <c r="N332" i="1" s="1"/>
  <c r="O332" i="1" s="1"/>
  <c r="J333" i="1"/>
  <c r="L333" i="1" s="1"/>
  <c r="N333" i="1" s="1"/>
  <c r="O333" i="1" s="1"/>
  <c r="J334" i="1"/>
  <c r="L334" i="1" s="1"/>
  <c r="N334" i="1" s="1"/>
  <c r="O334" i="1" s="1"/>
  <c r="J335" i="1"/>
  <c r="L335" i="1" s="1"/>
  <c r="N335" i="1" s="1"/>
  <c r="O335" i="1" s="1"/>
  <c r="J336" i="1"/>
  <c r="L336" i="1" s="1"/>
  <c r="N336" i="1" s="1"/>
  <c r="O336" i="1" s="1"/>
  <c r="J337" i="1"/>
  <c r="L337" i="1" s="1"/>
  <c r="N337" i="1" s="1"/>
  <c r="O337" i="1" s="1"/>
  <c r="J338" i="1"/>
  <c r="L338" i="1" s="1"/>
  <c r="N338" i="1" s="1"/>
  <c r="O338" i="1" s="1"/>
  <c r="J339" i="1"/>
  <c r="L339" i="1" s="1"/>
  <c r="N339" i="1" s="1"/>
  <c r="O339" i="1" s="1"/>
  <c r="J340" i="1"/>
  <c r="L340" i="1" s="1"/>
  <c r="N340" i="1" s="1"/>
  <c r="O340" i="1" s="1"/>
  <c r="J341" i="1"/>
  <c r="L341" i="1" s="1"/>
  <c r="N341" i="1" s="1"/>
  <c r="O341" i="1" s="1"/>
  <c r="J342" i="1"/>
  <c r="L342" i="1" s="1"/>
  <c r="N342" i="1" s="1"/>
  <c r="O342" i="1" s="1"/>
  <c r="J343" i="1"/>
  <c r="L343" i="1" s="1"/>
  <c r="N343" i="1" s="1"/>
  <c r="O343" i="1" s="1"/>
  <c r="J344" i="1"/>
  <c r="L344" i="1" s="1"/>
  <c r="N344" i="1" s="1"/>
  <c r="O344" i="1" s="1"/>
  <c r="J345" i="1"/>
  <c r="L345" i="1" s="1"/>
  <c r="N345" i="1" s="1"/>
  <c r="O345" i="1" s="1"/>
  <c r="J346" i="1"/>
  <c r="L346" i="1" s="1"/>
  <c r="N346" i="1" s="1"/>
  <c r="O346" i="1" s="1"/>
  <c r="J347" i="1"/>
  <c r="L347" i="1" s="1"/>
  <c r="N347" i="1" s="1"/>
  <c r="O347" i="1" s="1"/>
  <c r="J348" i="1"/>
  <c r="L348" i="1" s="1"/>
  <c r="N348" i="1" s="1"/>
  <c r="O348" i="1" s="1"/>
  <c r="J349" i="1"/>
  <c r="L349" i="1" s="1"/>
  <c r="N349" i="1" s="1"/>
  <c r="O349" i="1" s="1"/>
  <c r="J350" i="1"/>
  <c r="L350" i="1" s="1"/>
  <c r="N350" i="1" s="1"/>
  <c r="O350" i="1" s="1"/>
  <c r="J351" i="1"/>
  <c r="L351" i="1" s="1"/>
  <c r="N351" i="1" s="1"/>
  <c r="O351" i="1" s="1"/>
  <c r="J352" i="1"/>
  <c r="L352" i="1" s="1"/>
  <c r="N352" i="1" s="1"/>
  <c r="O352" i="1" s="1"/>
  <c r="J353" i="1"/>
  <c r="L353" i="1" s="1"/>
  <c r="N353" i="1" s="1"/>
  <c r="O353" i="1" s="1"/>
  <c r="J354" i="1"/>
  <c r="L354" i="1" s="1"/>
  <c r="N354" i="1" s="1"/>
  <c r="O354" i="1" s="1"/>
  <c r="J355" i="1"/>
  <c r="L355" i="1" s="1"/>
  <c r="N355" i="1" s="1"/>
  <c r="O355" i="1" s="1"/>
  <c r="J356" i="1"/>
  <c r="L356" i="1" s="1"/>
  <c r="N356" i="1" s="1"/>
  <c r="O356" i="1" s="1"/>
  <c r="J357" i="1"/>
  <c r="L357" i="1" s="1"/>
  <c r="N357" i="1" s="1"/>
  <c r="O357" i="1" s="1"/>
  <c r="J358" i="1"/>
  <c r="L358" i="1" s="1"/>
  <c r="N358" i="1" s="1"/>
  <c r="O358" i="1" s="1"/>
  <c r="J359" i="1"/>
  <c r="L359" i="1" s="1"/>
  <c r="N359" i="1" s="1"/>
  <c r="O359" i="1" s="1"/>
  <c r="J360" i="1"/>
  <c r="L360" i="1" s="1"/>
  <c r="N360" i="1" s="1"/>
  <c r="O360" i="1" s="1"/>
  <c r="J361" i="1"/>
  <c r="L361" i="1" s="1"/>
  <c r="N361" i="1" s="1"/>
  <c r="O361" i="1" s="1"/>
  <c r="J362" i="1"/>
  <c r="L362" i="1" s="1"/>
  <c r="N362" i="1" s="1"/>
  <c r="O362" i="1" s="1"/>
  <c r="J363" i="1"/>
  <c r="L363" i="1" s="1"/>
  <c r="N363" i="1" s="1"/>
  <c r="O363" i="1" s="1"/>
  <c r="J364" i="1"/>
  <c r="L364" i="1" s="1"/>
  <c r="N364" i="1" s="1"/>
  <c r="O364" i="1" s="1"/>
  <c r="J365" i="1"/>
  <c r="L365" i="1" s="1"/>
  <c r="N365" i="1" s="1"/>
  <c r="O365" i="1" s="1"/>
  <c r="J366" i="1"/>
  <c r="L366" i="1" s="1"/>
  <c r="N366" i="1" s="1"/>
  <c r="O366" i="1" s="1"/>
  <c r="J367" i="1"/>
  <c r="L367" i="1" s="1"/>
  <c r="N367" i="1" s="1"/>
  <c r="O367" i="1" s="1"/>
  <c r="J368" i="1"/>
  <c r="L368" i="1" s="1"/>
  <c r="N368" i="1" s="1"/>
  <c r="O368" i="1" s="1"/>
  <c r="J369" i="1"/>
  <c r="L369" i="1" s="1"/>
  <c r="N369" i="1" s="1"/>
  <c r="O369" i="1" s="1"/>
  <c r="J370" i="1"/>
  <c r="L370" i="1" s="1"/>
  <c r="N370" i="1" s="1"/>
  <c r="O370" i="1" s="1"/>
  <c r="J371" i="1"/>
  <c r="L371" i="1" s="1"/>
  <c r="N371" i="1" s="1"/>
  <c r="O371" i="1" s="1"/>
  <c r="J372" i="1"/>
  <c r="L372" i="1" s="1"/>
  <c r="N372" i="1" s="1"/>
  <c r="O372" i="1" s="1"/>
  <c r="J373" i="1"/>
  <c r="L373" i="1" s="1"/>
  <c r="N373" i="1" s="1"/>
  <c r="O373" i="1" s="1"/>
  <c r="J374" i="1"/>
  <c r="L374" i="1" s="1"/>
  <c r="N374" i="1" s="1"/>
  <c r="O374" i="1" s="1"/>
  <c r="J375" i="1"/>
  <c r="L375" i="1" s="1"/>
  <c r="N375" i="1" s="1"/>
  <c r="O375" i="1" s="1"/>
  <c r="J376" i="1"/>
  <c r="L376" i="1" s="1"/>
  <c r="N376" i="1" s="1"/>
  <c r="O376" i="1" s="1"/>
  <c r="J377" i="1"/>
  <c r="L377" i="1" s="1"/>
  <c r="N377" i="1" s="1"/>
  <c r="O377" i="1" s="1"/>
  <c r="J378" i="1"/>
  <c r="L378" i="1" s="1"/>
  <c r="N378" i="1" s="1"/>
  <c r="O378" i="1" s="1"/>
  <c r="J379" i="1"/>
  <c r="L379" i="1" s="1"/>
  <c r="N379" i="1" s="1"/>
  <c r="O379" i="1" s="1"/>
  <c r="J380" i="1"/>
  <c r="L380" i="1" s="1"/>
  <c r="N380" i="1" s="1"/>
  <c r="O380" i="1" s="1"/>
  <c r="J381" i="1"/>
  <c r="L381" i="1" s="1"/>
  <c r="N381" i="1" s="1"/>
  <c r="O381" i="1" s="1"/>
  <c r="J382" i="1"/>
  <c r="L382" i="1" s="1"/>
  <c r="N382" i="1" s="1"/>
  <c r="O382" i="1" s="1"/>
  <c r="J383" i="1"/>
  <c r="L383" i="1" s="1"/>
  <c r="N383" i="1" s="1"/>
  <c r="O383" i="1" s="1"/>
  <c r="J384" i="1"/>
  <c r="L384" i="1" s="1"/>
  <c r="N384" i="1" s="1"/>
  <c r="O384" i="1" s="1"/>
  <c r="J385" i="1"/>
  <c r="L385" i="1" s="1"/>
  <c r="N385" i="1" s="1"/>
  <c r="O385" i="1" s="1"/>
  <c r="J386" i="1"/>
  <c r="L386" i="1" s="1"/>
  <c r="N386" i="1" s="1"/>
  <c r="O386" i="1" s="1"/>
  <c r="J387" i="1"/>
  <c r="L387" i="1" s="1"/>
  <c r="N387" i="1" s="1"/>
  <c r="O387" i="1" s="1"/>
  <c r="J388" i="1"/>
  <c r="L388" i="1" s="1"/>
  <c r="N388" i="1" s="1"/>
  <c r="O388" i="1" s="1"/>
  <c r="J389" i="1"/>
  <c r="L389" i="1" s="1"/>
  <c r="N389" i="1" s="1"/>
  <c r="O389" i="1" s="1"/>
  <c r="J390" i="1"/>
  <c r="L390" i="1" s="1"/>
  <c r="N390" i="1" s="1"/>
  <c r="O390" i="1" s="1"/>
  <c r="J391" i="1"/>
  <c r="L391" i="1" s="1"/>
  <c r="N391" i="1" s="1"/>
  <c r="O391" i="1" s="1"/>
  <c r="J392" i="1"/>
  <c r="L392" i="1" s="1"/>
  <c r="N392" i="1" s="1"/>
  <c r="O392" i="1" s="1"/>
  <c r="J393" i="1"/>
  <c r="L393" i="1" s="1"/>
  <c r="N393" i="1" s="1"/>
  <c r="O393" i="1" s="1"/>
  <c r="J394" i="1"/>
  <c r="L394" i="1" s="1"/>
  <c r="N394" i="1" s="1"/>
  <c r="O394" i="1" s="1"/>
  <c r="J395" i="1"/>
  <c r="L395" i="1" s="1"/>
  <c r="N395" i="1" s="1"/>
  <c r="O395" i="1" s="1"/>
  <c r="J396" i="1"/>
  <c r="L396" i="1" s="1"/>
  <c r="N396" i="1" s="1"/>
  <c r="O396" i="1" s="1"/>
  <c r="J397" i="1"/>
  <c r="L397" i="1" s="1"/>
  <c r="N397" i="1" s="1"/>
  <c r="O397" i="1" s="1"/>
  <c r="J398" i="1"/>
  <c r="L398" i="1" s="1"/>
  <c r="N398" i="1" s="1"/>
  <c r="O398" i="1" s="1"/>
  <c r="J399" i="1"/>
  <c r="L399" i="1" s="1"/>
  <c r="N399" i="1" s="1"/>
  <c r="O399" i="1" s="1"/>
  <c r="J400" i="1"/>
  <c r="L400" i="1" s="1"/>
  <c r="N400" i="1" s="1"/>
  <c r="O400" i="1" s="1"/>
  <c r="J401" i="1"/>
  <c r="L401" i="1" s="1"/>
  <c r="N401" i="1" s="1"/>
  <c r="O401" i="1" s="1"/>
  <c r="J402" i="1"/>
  <c r="L402" i="1" s="1"/>
  <c r="N402" i="1" s="1"/>
  <c r="O402" i="1" s="1"/>
  <c r="J403" i="1"/>
  <c r="L403" i="1" s="1"/>
  <c r="N403" i="1" s="1"/>
  <c r="O403" i="1" s="1"/>
  <c r="J404" i="1"/>
  <c r="L404" i="1" s="1"/>
  <c r="N404" i="1" s="1"/>
  <c r="O404" i="1" s="1"/>
  <c r="J405" i="1"/>
  <c r="L405" i="1" s="1"/>
  <c r="N405" i="1" s="1"/>
  <c r="O405" i="1" s="1"/>
  <c r="J406" i="1"/>
  <c r="L406" i="1" s="1"/>
  <c r="N406" i="1" s="1"/>
  <c r="O406" i="1" s="1"/>
  <c r="J407" i="1"/>
  <c r="L407" i="1" s="1"/>
  <c r="N407" i="1" s="1"/>
  <c r="O407" i="1" s="1"/>
  <c r="J408" i="1"/>
  <c r="L408" i="1" s="1"/>
  <c r="N408" i="1" s="1"/>
  <c r="O408" i="1" s="1"/>
  <c r="J409" i="1"/>
  <c r="L409" i="1" s="1"/>
  <c r="N409" i="1" s="1"/>
  <c r="O409" i="1" s="1"/>
  <c r="J410" i="1"/>
  <c r="L410" i="1" s="1"/>
  <c r="N410" i="1" s="1"/>
  <c r="O410" i="1" s="1"/>
  <c r="J411" i="1"/>
  <c r="L411" i="1" s="1"/>
  <c r="N411" i="1" s="1"/>
  <c r="O411" i="1" s="1"/>
  <c r="J412" i="1"/>
  <c r="L412" i="1" s="1"/>
  <c r="N412" i="1" s="1"/>
  <c r="O412" i="1" s="1"/>
  <c r="J413" i="1"/>
  <c r="L413" i="1" s="1"/>
  <c r="N413" i="1" s="1"/>
  <c r="O413" i="1" s="1"/>
  <c r="J414" i="1"/>
  <c r="L414" i="1" s="1"/>
  <c r="N414" i="1" s="1"/>
  <c r="O414" i="1" s="1"/>
  <c r="J415" i="1"/>
  <c r="L415" i="1" s="1"/>
  <c r="N415" i="1" s="1"/>
  <c r="O415" i="1" s="1"/>
  <c r="J416" i="1"/>
  <c r="L416" i="1" s="1"/>
  <c r="N416" i="1" s="1"/>
  <c r="O416" i="1" s="1"/>
  <c r="J417" i="1"/>
  <c r="L417" i="1" s="1"/>
  <c r="N417" i="1" s="1"/>
  <c r="O417" i="1" s="1"/>
  <c r="J418" i="1"/>
  <c r="L418" i="1" s="1"/>
  <c r="N418" i="1" s="1"/>
  <c r="O418" i="1" s="1"/>
  <c r="J419" i="1"/>
  <c r="L419" i="1" s="1"/>
  <c r="N419" i="1" s="1"/>
  <c r="O419" i="1" s="1"/>
  <c r="J420" i="1"/>
  <c r="L420" i="1" s="1"/>
  <c r="N420" i="1" s="1"/>
  <c r="O420" i="1" s="1"/>
  <c r="J421" i="1"/>
  <c r="L421" i="1" s="1"/>
  <c r="N421" i="1" s="1"/>
  <c r="O421" i="1" s="1"/>
  <c r="J422" i="1"/>
  <c r="L422" i="1" s="1"/>
  <c r="N422" i="1" s="1"/>
  <c r="O422" i="1" s="1"/>
  <c r="J423" i="1"/>
  <c r="L423" i="1" s="1"/>
  <c r="N423" i="1" s="1"/>
  <c r="O423" i="1" s="1"/>
  <c r="J424" i="1"/>
  <c r="L424" i="1" s="1"/>
  <c r="N424" i="1" s="1"/>
  <c r="O424" i="1" s="1"/>
  <c r="J425" i="1"/>
  <c r="L425" i="1" s="1"/>
  <c r="N425" i="1" s="1"/>
  <c r="O425" i="1" s="1"/>
  <c r="J426" i="1"/>
  <c r="L426" i="1" s="1"/>
  <c r="N426" i="1" s="1"/>
  <c r="O426" i="1" s="1"/>
  <c r="J427" i="1"/>
  <c r="L427" i="1" s="1"/>
  <c r="N427" i="1" s="1"/>
  <c r="O427" i="1" s="1"/>
  <c r="J428" i="1"/>
  <c r="L428" i="1" s="1"/>
  <c r="N428" i="1" s="1"/>
  <c r="O428" i="1" s="1"/>
  <c r="J429" i="1"/>
  <c r="L429" i="1" s="1"/>
  <c r="N429" i="1" s="1"/>
  <c r="O429" i="1" s="1"/>
  <c r="J430" i="1"/>
  <c r="L430" i="1" s="1"/>
  <c r="N430" i="1" s="1"/>
  <c r="O430" i="1" s="1"/>
  <c r="J431" i="1"/>
  <c r="L431" i="1" s="1"/>
  <c r="N431" i="1" s="1"/>
  <c r="O431" i="1" s="1"/>
  <c r="J432" i="1"/>
  <c r="L432" i="1" s="1"/>
  <c r="N432" i="1" s="1"/>
  <c r="O432" i="1" s="1"/>
  <c r="J433" i="1"/>
  <c r="L433" i="1" s="1"/>
  <c r="N433" i="1" s="1"/>
  <c r="O433" i="1" s="1"/>
  <c r="J434" i="1"/>
  <c r="L434" i="1" s="1"/>
  <c r="N434" i="1" s="1"/>
  <c r="O434" i="1" s="1"/>
  <c r="J435" i="1"/>
  <c r="L435" i="1" s="1"/>
  <c r="N435" i="1" s="1"/>
  <c r="O435" i="1" s="1"/>
  <c r="J436" i="1"/>
  <c r="L436" i="1" s="1"/>
  <c r="N436" i="1" s="1"/>
  <c r="O436" i="1" s="1"/>
  <c r="J437" i="1"/>
  <c r="L437" i="1" s="1"/>
  <c r="N437" i="1" s="1"/>
  <c r="O437" i="1" s="1"/>
  <c r="J438" i="1"/>
  <c r="L438" i="1" s="1"/>
  <c r="N438" i="1" s="1"/>
  <c r="O438" i="1" s="1"/>
  <c r="J439" i="1"/>
  <c r="L439" i="1" s="1"/>
  <c r="N439" i="1" s="1"/>
  <c r="O439" i="1" s="1"/>
  <c r="J440" i="1"/>
  <c r="L440" i="1" s="1"/>
  <c r="N440" i="1" s="1"/>
  <c r="O440" i="1" s="1"/>
  <c r="J441" i="1"/>
  <c r="L441" i="1" s="1"/>
  <c r="N441" i="1" s="1"/>
  <c r="O441" i="1" s="1"/>
  <c r="J442" i="1"/>
  <c r="L442" i="1" s="1"/>
  <c r="N442" i="1" s="1"/>
  <c r="O442" i="1" s="1"/>
  <c r="J443" i="1"/>
  <c r="L443" i="1" s="1"/>
  <c r="N443" i="1" s="1"/>
  <c r="O443" i="1" s="1"/>
  <c r="J444" i="1"/>
  <c r="L444" i="1" s="1"/>
  <c r="N444" i="1" s="1"/>
  <c r="O444" i="1" s="1"/>
  <c r="J445" i="1"/>
  <c r="L445" i="1" s="1"/>
  <c r="N445" i="1" s="1"/>
  <c r="O445" i="1" s="1"/>
  <c r="J446" i="1"/>
  <c r="L446" i="1" s="1"/>
  <c r="N446" i="1" s="1"/>
  <c r="O446" i="1" s="1"/>
  <c r="J447" i="1"/>
  <c r="L447" i="1" s="1"/>
  <c r="N447" i="1" s="1"/>
  <c r="O447" i="1" s="1"/>
  <c r="J448" i="1"/>
  <c r="L448" i="1" s="1"/>
  <c r="N448" i="1" s="1"/>
  <c r="O448" i="1" s="1"/>
  <c r="J449" i="1"/>
  <c r="L449" i="1" s="1"/>
  <c r="N449" i="1" s="1"/>
  <c r="O449" i="1" s="1"/>
  <c r="J450" i="1"/>
  <c r="L450" i="1" s="1"/>
  <c r="N450" i="1" s="1"/>
  <c r="O450" i="1" s="1"/>
  <c r="J451" i="1"/>
  <c r="L451" i="1" s="1"/>
  <c r="N451" i="1" s="1"/>
  <c r="O451" i="1" s="1"/>
  <c r="J452" i="1"/>
  <c r="L452" i="1" s="1"/>
  <c r="N452" i="1" s="1"/>
  <c r="O452" i="1" s="1"/>
  <c r="J453" i="1"/>
  <c r="L453" i="1" s="1"/>
  <c r="N453" i="1" s="1"/>
  <c r="O453" i="1" s="1"/>
  <c r="J454" i="1"/>
  <c r="L454" i="1" s="1"/>
  <c r="N454" i="1" s="1"/>
  <c r="O454" i="1" s="1"/>
  <c r="J455" i="1"/>
  <c r="L455" i="1" s="1"/>
  <c r="N455" i="1" s="1"/>
  <c r="O455" i="1" s="1"/>
  <c r="J456" i="1"/>
  <c r="L456" i="1" s="1"/>
  <c r="N456" i="1" s="1"/>
  <c r="O456" i="1" s="1"/>
  <c r="J457" i="1"/>
  <c r="L457" i="1" s="1"/>
  <c r="N457" i="1" s="1"/>
  <c r="O457" i="1" s="1"/>
  <c r="J458" i="1"/>
  <c r="L458" i="1" s="1"/>
  <c r="N458" i="1" s="1"/>
  <c r="O458" i="1" s="1"/>
  <c r="J459" i="1"/>
  <c r="L459" i="1" s="1"/>
  <c r="N459" i="1" s="1"/>
  <c r="O459" i="1" s="1"/>
  <c r="J460" i="1"/>
  <c r="L460" i="1" s="1"/>
  <c r="N460" i="1" s="1"/>
  <c r="O460" i="1" s="1"/>
  <c r="J461" i="1"/>
  <c r="L461" i="1" s="1"/>
  <c r="N461" i="1" s="1"/>
  <c r="O461" i="1" s="1"/>
  <c r="J462" i="1"/>
  <c r="L462" i="1" s="1"/>
  <c r="N462" i="1" s="1"/>
  <c r="O462" i="1" s="1"/>
  <c r="J463" i="1"/>
  <c r="L463" i="1" s="1"/>
  <c r="N463" i="1" s="1"/>
  <c r="O463" i="1" s="1"/>
  <c r="J464" i="1"/>
  <c r="L464" i="1" s="1"/>
  <c r="N464" i="1" s="1"/>
  <c r="O464" i="1" s="1"/>
  <c r="J465" i="1"/>
  <c r="L465" i="1" s="1"/>
  <c r="N465" i="1" s="1"/>
  <c r="O465" i="1" s="1"/>
  <c r="J466" i="1"/>
  <c r="L466" i="1" s="1"/>
  <c r="N466" i="1" s="1"/>
  <c r="O466" i="1" s="1"/>
  <c r="J467" i="1"/>
  <c r="L467" i="1" s="1"/>
  <c r="N467" i="1" s="1"/>
  <c r="O467" i="1" s="1"/>
  <c r="J468" i="1"/>
  <c r="L468" i="1" s="1"/>
  <c r="N468" i="1" s="1"/>
  <c r="O468" i="1" s="1"/>
  <c r="J469" i="1"/>
  <c r="L469" i="1" s="1"/>
  <c r="N469" i="1" s="1"/>
  <c r="O469" i="1" s="1"/>
  <c r="J470" i="1"/>
  <c r="L470" i="1" s="1"/>
  <c r="N470" i="1" s="1"/>
  <c r="O470" i="1" s="1"/>
  <c r="J471" i="1"/>
  <c r="L471" i="1" s="1"/>
  <c r="N471" i="1" s="1"/>
  <c r="O471" i="1" s="1"/>
  <c r="J472" i="1"/>
  <c r="L472" i="1" s="1"/>
  <c r="N472" i="1" s="1"/>
  <c r="O472" i="1" s="1"/>
  <c r="J473" i="1"/>
  <c r="L473" i="1" s="1"/>
  <c r="N473" i="1" s="1"/>
  <c r="O473" i="1" s="1"/>
  <c r="J474" i="1"/>
  <c r="L474" i="1" s="1"/>
  <c r="N474" i="1" s="1"/>
  <c r="O474" i="1" s="1"/>
  <c r="J475" i="1"/>
  <c r="L475" i="1" s="1"/>
  <c r="N475" i="1" s="1"/>
  <c r="O475" i="1" s="1"/>
  <c r="J476" i="1"/>
  <c r="L476" i="1" s="1"/>
  <c r="N476" i="1" s="1"/>
  <c r="O476" i="1" s="1"/>
  <c r="J477" i="1"/>
  <c r="L477" i="1" s="1"/>
  <c r="N477" i="1" s="1"/>
  <c r="O477" i="1" s="1"/>
  <c r="J478" i="1"/>
  <c r="L478" i="1" s="1"/>
  <c r="N478" i="1" s="1"/>
  <c r="O478" i="1" s="1"/>
  <c r="J479" i="1"/>
  <c r="L479" i="1" s="1"/>
  <c r="N479" i="1" s="1"/>
  <c r="O479" i="1" s="1"/>
  <c r="J480" i="1"/>
  <c r="L480" i="1" s="1"/>
  <c r="N480" i="1" s="1"/>
  <c r="O480" i="1" s="1"/>
  <c r="J481" i="1"/>
  <c r="L481" i="1" s="1"/>
  <c r="N481" i="1" s="1"/>
  <c r="O481" i="1" s="1"/>
  <c r="J482" i="1"/>
  <c r="L482" i="1" s="1"/>
  <c r="N482" i="1" s="1"/>
  <c r="O482" i="1" s="1"/>
  <c r="J483" i="1"/>
  <c r="L483" i="1" s="1"/>
  <c r="N483" i="1" s="1"/>
  <c r="O483" i="1" s="1"/>
  <c r="J484" i="1"/>
  <c r="L484" i="1" s="1"/>
  <c r="N484" i="1" s="1"/>
  <c r="O484" i="1" s="1"/>
  <c r="J485" i="1"/>
  <c r="L485" i="1" s="1"/>
  <c r="N485" i="1" s="1"/>
  <c r="O485" i="1" s="1"/>
  <c r="J486" i="1"/>
  <c r="L486" i="1" s="1"/>
  <c r="N486" i="1" s="1"/>
  <c r="O486" i="1" s="1"/>
  <c r="J487" i="1"/>
  <c r="L487" i="1" s="1"/>
  <c r="N487" i="1" s="1"/>
  <c r="O487" i="1" s="1"/>
  <c r="J488" i="1"/>
  <c r="L488" i="1" s="1"/>
  <c r="N488" i="1" s="1"/>
  <c r="O488" i="1" s="1"/>
  <c r="J489" i="1"/>
  <c r="L489" i="1" s="1"/>
  <c r="N489" i="1" s="1"/>
  <c r="O489" i="1" s="1"/>
  <c r="J490" i="1"/>
  <c r="L490" i="1" s="1"/>
  <c r="N490" i="1" s="1"/>
  <c r="O490" i="1" s="1"/>
  <c r="J491" i="1"/>
  <c r="L491" i="1" s="1"/>
  <c r="N491" i="1" s="1"/>
  <c r="O491" i="1" s="1"/>
  <c r="J492" i="1"/>
  <c r="L492" i="1" s="1"/>
  <c r="N492" i="1" s="1"/>
  <c r="O492" i="1" s="1"/>
  <c r="J493" i="1"/>
  <c r="L493" i="1" s="1"/>
  <c r="N493" i="1" s="1"/>
  <c r="O493" i="1" s="1"/>
  <c r="J494" i="1"/>
  <c r="L494" i="1" s="1"/>
  <c r="N494" i="1" s="1"/>
  <c r="O494" i="1" s="1"/>
  <c r="J495" i="1"/>
  <c r="L495" i="1" s="1"/>
  <c r="N495" i="1" s="1"/>
  <c r="O495" i="1" s="1"/>
  <c r="J496" i="1"/>
  <c r="L496" i="1" s="1"/>
  <c r="N496" i="1" s="1"/>
  <c r="O496" i="1" s="1"/>
  <c r="J497" i="1"/>
  <c r="L497" i="1" s="1"/>
  <c r="N497" i="1" s="1"/>
  <c r="O497" i="1" s="1"/>
  <c r="J498" i="1"/>
  <c r="L498" i="1" s="1"/>
  <c r="N498" i="1" s="1"/>
  <c r="O498" i="1" s="1"/>
  <c r="J499" i="1"/>
  <c r="L499" i="1" s="1"/>
  <c r="N499" i="1" s="1"/>
  <c r="O499" i="1" s="1"/>
  <c r="J500" i="1"/>
  <c r="L500" i="1" s="1"/>
  <c r="N500" i="1" s="1"/>
  <c r="O500" i="1" s="1"/>
  <c r="J501" i="1"/>
  <c r="L501" i="1" s="1"/>
  <c r="N501" i="1" s="1"/>
  <c r="O501" i="1" s="1"/>
  <c r="J502" i="1"/>
  <c r="L502" i="1" s="1"/>
  <c r="N502" i="1" s="1"/>
  <c r="O502" i="1" s="1"/>
  <c r="J503" i="1"/>
  <c r="L503" i="1" s="1"/>
  <c r="N503" i="1" s="1"/>
  <c r="O503" i="1" s="1"/>
  <c r="J504" i="1"/>
  <c r="L504" i="1" s="1"/>
  <c r="N504" i="1" s="1"/>
  <c r="O504" i="1" s="1"/>
  <c r="J505" i="1"/>
  <c r="L505" i="1" s="1"/>
  <c r="N505" i="1" s="1"/>
  <c r="O505" i="1" s="1"/>
  <c r="J506" i="1"/>
  <c r="L506" i="1" s="1"/>
  <c r="N506" i="1" s="1"/>
  <c r="O506" i="1" s="1"/>
  <c r="J507" i="1"/>
  <c r="L507" i="1" s="1"/>
  <c r="N507" i="1" s="1"/>
  <c r="O507" i="1" s="1"/>
  <c r="J508" i="1"/>
  <c r="L508" i="1" s="1"/>
  <c r="N508" i="1" s="1"/>
  <c r="O508" i="1" s="1"/>
  <c r="J509" i="1"/>
  <c r="L509" i="1" s="1"/>
  <c r="N509" i="1" s="1"/>
  <c r="O509" i="1" s="1"/>
  <c r="J510" i="1"/>
  <c r="L510" i="1" s="1"/>
  <c r="N510" i="1" s="1"/>
  <c r="O510" i="1" s="1"/>
  <c r="J511" i="1"/>
  <c r="L511" i="1" s="1"/>
  <c r="N511" i="1" s="1"/>
  <c r="O511" i="1" s="1"/>
  <c r="J512" i="1"/>
  <c r="L512" i="1" s="1"/>
  <c r="N512" i="1" s="1"/>
  <c r="O512" i="1" s="1"/>
  <c r="J513" i="1"/>
  <c r="L513" i="1" s="1"/>
  <c r="N513" i="1" s="1"/>
  <c r="O513" i="1" s="1"/>
  <c r="J514" i="1"/>
  <c r="L514" i="1" s="1"/>
  <c r="N514" i="1" s="1"/>
  <c r="O514" i="1" s="1"/>
  <c r="J515" i="1"/>
  <c r="L515" i="1" s="1"/>
  <c r="N515" i="1" s="1"/>
  <c r="O515" i="1" s="1"/>
  <c r="J516" i="1"/>
  <c r="L516" i="1" s="1"/>
  <c r="N516" i="1" s="1"/>
  <c r="O516" i="1" s="1"/>
  <c r="J517" i="1"/>
  <c r="L517" i="1" s="1"/>
  <c r="N517" i="1" s="1"/>
  <c r="O517" i="1" s="1"/>
  <c r="J518" i="1"/>
  <c r="L518" i="1" s="1"/>
  <c r="N518" i="1" s="1"/>
  <c r="O518" i="1" s="1"/>
  <c r="J519" i="1"/>
  <c r="L519" i="1" s="1"/>
  <c r="N519" i="1" s="1"/>
  <c r="O519" i="1" s="1"/>
  <c r="J520" i="1"/>
  <c r="L520" i="1" s="1"/>
  <c r="N520" i="1" s="1"/>
  <c r="O520" i="1" s="1"/>
  <c r="J521" i="1"/>
  <c r="L521" i="1" s="1"/>
  <c r="N521" i="1" s="1"/>
  <c r="O521" i="1" s="1"/>
  <c r="J522" i="1"/>
  <c r="L522" i="1" s="1"/>
  <c r="N522" i="1" s="1"/>
  <c r="O522" i="1" s="1"/>
  <c r="J523" i="1"/>
  <c r="L523" i="1" s="1"/>
  <c r="N523" i="1" s="1"/>
  <c r="O523" i="1" s="1"/>
  <c r="J524" i="1"/>
  <c r="L524" i="1" s="1"/>
  <c r="N524" i="1" s="1"/>
  <c r="O524" i="1" s="1"/>
  <c r="J525" i="1"/>
  <c r="L525" i="1" s="1"/>
  <c r="N525" i="1" s="1"/>
  <c r="O525" i="1" s="1"/>
  <c r="J526" i="1"/>
  <c r="L526" i="1" s="1"/>
  <c r="N526" i="1" s="1"/>
  <c r="O526" i="1" s="1"/>
  <c r="J527" i="1"/>
  <c r="L527" i="1" s="1"/>
  <c r="N527" i="1" s="1"/>
  <c r="O527" i="1" s="1"/>
  <c r="J528" i="1"/>
  <c r="L528" i="1" s="1"/>
  <c r="N528" i="1" s="1"/>
  <c r="O528" i="1" s="1"/>
  <c r="J529" i="1"/>
  <c r="L529" i="1" s="1"/>
  <c r="N529" i="1" s="1"/>
  <c r="O529" i="1" s="1"/>
  <c r="J530" i="1"/>
  <c r="L530" i="1" s="1"/>
  <c r="N530" i="1" s="1"/>
  <c r="O530" i="1" s="1"/>
  <c r="J531" i="1"/>
  <c r="L531" i="1" s="1"/>
  <c r="N531" i="1" s="1"/>
  <c r="O531" i="1" s="1"/>
  <c r="J532" i="1"/>
  <c r="L532" i="1" s="1"/>
  <c r="N532" i="1" s="1"/>
  <c r="O532" i="1" s="1"/>
  <c r="J533" i="1"/>
  <c r="L533" i="1" s="1"/>
  <c r="N533" i="1" s="1"/>
  <c r="O533" i="1" s="1"/>
  <c r="J534" i="1"/>
  <c r="L534" i="1" s="1"/>
  <c r="N534" i="1" s="1"/>
  <c r="O534" i="1" s="1"/>
  <c r="J535" i="1"/>
  <c r="L535" i="1" s="1"/>
  <c r="N535" i="1" s="1"/>
  <c r="O535" i="1" s="1"/>
  <c r="J536" i="1"/>
  <c r="L536" i="1" s="1"/>
  <c r="N536" i="1" s="1"/>
  <c r="O536" i="1" s="1"/>
  <c r="J537" i="1"/>
  <c r="L537" i="1" s="1"/>
  <c r="N537" i="1" s="1"/>
  <c r="O537" i="1" s="1"/>
  <c r="J538" i="1"/>
  <c r="L538" i="1" s="1"/>
  <c r="N538" i="1" s="1"/>
  <c r="O538" i="1" s="1"/>
  <c r="J539" i="1"/>
  <c r="L539" i="1" s="1"/>
  <c r="N539" i="1" s="1"/>
  <c r="O539" i="1" s="1"/>
  <c r="J540" i="1"/>
  <c r="L540" i="1" s="1"/>
  <c r="N540" i="1" s="1"/>
  <c r="O540" i="1" s="1"/>
  <c r="J541" i="1"/>
  <c r="L541" i="1" s="1"/>
  <c r="N541" i="1" s="1"/>
  <c r="O541" i="1" s="1"/>
  <c r="J542" i="1"/>
  <c r="L542" i="1" s="1"/>
  <c r="N542" i="1" s="1"/>
  <c r="O542" i="1" s="1"/>
  <c r="J543" i="1"/>
  <c r="L543" i="1" s="1"/>
  <c r="N543" i="1" s="1"/>
  <c r="O543" i="1" s="1"/>
  <c r="J544" i="1"/>
  <c r="L544" i="1" s="1"/>
  <c r="N544" i="1" s="1"/>
  <c r="O544" i="1" s="1"/>
  <c r="J545" i="1"/>
  <c r="L545" i="1" s="1"/>
  <c r="N545" i="1" s="1"/>
  <c r="O545" i="1" s="1"/>
  <c r="J546" i="1"/>
  <c r="L546" i="1" s="1"/>
  <c r="N546" i="1" s="1"/>
  <c r="O546" i="1" s="1"/>
  <c r="J547" i="1"/>
  <c r="L547" i="1" s="1"/>
  <c r="N547" i="1" s="1"/>
  <c r="O547" i="1" s="1"/>
  <c r="J548" i="1"/>
  <c r="L548" i="1" s="1"/>
  <c r="N548" i="1" s="1"/>
  <c r="O548" i="1" s="1"/>
  <c r="J549" i="1"/>
  <c r="L549" i="1" s="1"/>
  <c r="N549" i="1" s="1"/>
  <c r="O549" i="1" s="1"/>
  <c r="J550" i="1"/>
  <c r="L550" i="1" s="1"/>
  <c r="N550" i="1" s="1"/>
  <c r="O550" i="1" s="1"/>
  <c r="J551" i="1"/>
  <c r="L551" i="1" s="1"/>
  <c r="N551" i="1" s="1"/>
  <c r="O551" i="1" s="1"/>
  <c r="J552" i="1"/>
  <c r="L552" i="1" s="1"/>
  <c r="N552" i="1" s="1"/>
  <c r="O552" i="1" s="1"/>
  <c r="J553" i="1"/>
  <c r="L553" i="1" s="1"/>
  <c r="N553" i="1" s="1"/>
  <c r="O553" i="1" s="1"/>
  <c r="J554" i="1"/>
  <c r="L554" i="1" s="1"/>
  <c r="N554" i="1" s="1"/>
  <c r="O554" i="1" s="1"/>
  <c r="J555" i="1"/>
  <c r="L555" i="1" s="1"/>
  <c r="N555" i="1" s="1"/>
  <c r="O555" i="1" s="1"/>
  <c r="J556" i="1"/>
  <c r="L556" i="1" s="1"/>
  <c r="N556" i="1" s="1"/>
  <c r="O556" i="1" s="1"/>
  <c r="J557" i="1"/>
  <c r="L557" i="1" s="1"/>
  <c r="N557" i="1" s="1"/>
  <c r="O557" i="1" s="1"/>
  <c r="J558" i="1"/>
  <c r="L558" i="1" s="1"/>
  <c r="N558" i="1" s="1"/>
  <c r="O558" i="1" s="1"/>
  <c r="J559" i="1"/>
  <c r="L559" i="1" s="1"/>
  <c r="N559" i="1" s="1"/>
  <c r="O559" i="1" s="1"/>
  <c r="J560" i="1"/>
  <c r="L560" i="1" s="1"/>
  <c r="N560" i="1" s="1"/>
  <c r="O560" i="1" s="1"/>
  <c r="J561" i="1"/>
  <c r="L561" i="1" s="1"/>
  <c r="N561" i="1" s="1"/>
  <c r="O561" i="1" s="1"/>
  <c r="J562" i="1"/>
  <c r="L562" i="1" s="1"/>
  <c r="N562" i="1" s="1"/>
  <c r="O562" i="1" s="1"/>
  <c r="J563" i="1"/>
  <c r="L563" i="1" s="1"/>
  <c r="N563" i="1" s="1"/>
  <c r="O563" i="1" s="1"/>
  <c r="J564" i="1"/>
  <c r="L564" i="1" s="1"/>
  <c r="N564" i="1" s="1"/>
  <c r="O564" i="1" s="1"/>
  <c r="J565" i="1"/>
  <c r="L565" i="1" s="1"/>
  <c r="N565" i="1" s="1"/>
  <c r="O565" i="1" s="1"/>
  <c r="J566" i="1"/>
  <c r="L566" i="1" s="1"/>
  <c r="N566" i="1" s="1"/>
  <c r="O566" i="1" s="1"/>
  <c r="J567" i="1"/>
  <c r="L567" i="1" s="1"/>
  <c r="N567" i="1" s="1"/>
  <c r="O567" i="1" s="1"/>
  <c r="J568" i="1"/>
  <c r="L568" i="1" s="1"/>
  <c r="N568" i="1" s="1"/>
  <c r="O568" i="1" s="1"/>
  <c r="J569" i="1"/>
  <c r="L569" i="1" s="1"/>
  <c r="N569" i="1" s="1"/>
  <c r="O569" i="1" s="1"/>
  <c r="J570" i="1"/>
  <c r="L570" i="1" s="1"/>
  <c r="N570" i="1" s="1"/>
  <c r="O570" i="1" s="1"/>
  <c r="J571" i="1"/>
  <c r="L571" i="1" s="1"/>
  <c r="N571" i="1" s="1"/>
  <c r="O571" i="1" s="1"/>
  <c r="J572" i="1"/>
  <c r="L572" i="1" s="1"/>
  <c r="N572" i="1" s="1"/>
  <c r="O572" i="1" s="1"/>
  <c r="J573" i="1"/>
  <c r="L573" i="1" s="1"/>
  <c r="N573" i="1" s="1"/>
  <c r="O573" i="1" s="1"/>
  <c r="J574" i="1"/>
  <c r="L574" i="1" s="1"/>
  <c r="N574" i="1" s="1"/>
  <c r="O574" i="1" s="1"/>
  <c r="J575" i="1"/>
  <c r="L575" i="1" s="1"/>
  <c r="N575" i="1" s="1"/>
  <c r="O575" i="1" s="1"/>
  <c r="J576" i="1"/>
  <c r="L576" i="1" s="1"/>
  <c r="N576" i="1" s="1"/>
  <c r="O576" i="1" s="1"/>
  <c r="J577" i="1"/>
  <c r="L577" i="1" s="1"/>
  <c r="N577" i="1" s="1"/>
  <c r="O577" i="1" s="1"/>
  <c r="J578" i="1"/>
  <c r="L578" i="1" s="1"/>
  <c r="N578" i="1" s="1"/>
  <c r="O578" i="1" s="1"/>
  <c r="J579" i="1"/>
  <c r="L579" i="1" s="1"/>
  <c r="N579" i="1" s="1"/>
  <c r="O579" i="1" s="1"/>
  <c r="J580" i="1"/>
  <c r="L580" i="1" s="1"/>
  <c r="N580" i="1" s="1"/>
  <c r="O580" i="1" s="1"/>
  <c r="J581" i="1"/>
  <c r="L581" i="1" s="1"/>
  <c r="N581" i="1" s="1"/>
  <c r="O581" i="1" s="1"/>
  <c r="J582" i="1"/>
  <c r="L582" i="1" s="1"/>
  <c r="N582" i="1" s="1"/>
  <c r="O582" i="1" s="1"/>
  <c r="J583" i="1"/>
  <c r="L583" i="1" s="1"/>
  <c r="N583" i="1" s="1"/>
  <c r="O583" i="1" s="1"/>
  <c r="J584" i="1"/>
  <c r="L584" i="1" s="1"/>
  <c r="N584" i="1" s="1"/>
  <c r="O584" i="1" s="1"/>
  <c r="J585" i="1"/>
  <c r="L585" i="1" s="1"/>
  <c r="N585" i="1" s="1"/>
  <c r="O585" i="1" s="1"/>
  <c r="J586" i="1"/>
  <c r="L586" i="1" s="1"/>
  <c r="N586" i="1" s="1"/>
  <c r="O586" i="1" s="1"/>
  <c r="J587" i="1"/>
  <c r="L587" i="1" s="1"/>
  <c r="N587" i="1" s="1"/>
  <c r="O587" i="1" s="1"/>
  <c r="J588" i="1"/>
  <c r="L588" i="1" s="1"/>
  <c r="N588" i="1" s="1"/>
  <c r="O588" i="1" s="1"/>
  <c r="J589" i="1"/>
  <c r="L589" i="1" s="1"/>
  <c r="N589" i="1" s="1"/>
  <c r="O589" i="1" s="1"/>
  <c r="J590" i="1"/>
  <c r="L590" i="1" s="1"/>
  <c r="N590" i="1" s="1"/>
  <c r="O590" i="1" s="1"/>
  <c r="J591" i="1"/>
  <c r="L591" i="1" s="1"/>
  <c r="N591" i="1" s="1"/>
  <c r="O591" i="1" s="1"/>
  <c r="J592" i="1"/>
  <c r="L592" i="1" s="1"/>
  <c r="N592" i="1" s="1"/>
  <c r="O592" i="1" s="1"/>
  <c r="J593" i="1"/>
  <c r="L593" i="1" s="1"/>
  <c r="N593" i="1" s="1"/>
  <c r="O593" i="1" s="1"/>
  <c r="J594" i="1"/>
  <c r="L594" i="1" s="1"/>
  <c r="N594" i="1" s="1"/>
  <c r="O594" i="1" s="1"/>
  <c r="J595" i="1"/>
  <c r="L595" i="1" s="1"/>
  <c r="N595" i="1" s="1"/>
  <c r="O595" i="1" s="1"/>
  <c r="J596" i="1"/>
  <c r="L596" i="1" s="1"/>
  <c r="N596" i="1" s="1"/>
  <c r="O596" i="1" s="1"/>
  <c r="J597" i="1"/>
  <c r="L597" i="1" s="1"/>
  <c r="N597" i="1" s="1"/>
  <c r="O597" i="1" s="1"/>
  <c r="J598" i="1"/>
  <c r="L598" i="1" s="1"/>
  <c r="N598" i="1" s="1"/>
  <c r="O598" i="1" s="1"/>
  <c r="J599" i="1"/>
  <c r="L599" i="1" s="1"/>
  <c r="N599" i="1" s="1"/>
  <c r="O599" i="1" s="1"/>
  <c r="J600" i="1"/>
  <c r="L600" i="1" s="1"/>
  <c r="N600" i="1" s="1"/>
  <c r="O600" i="1" s="1"/>
  <c r="J601" i="1"/>
  <c r="L601" i="1" s="1"/>
  <c r="N601" i="1" s="1"/>
  <c r="O601" i="1" s="1"/>
  <c r="J602" i="1"/>
  <c r="L602" i="1" s="1"/>
  <c r="N602" i="1" s="1"/>
  <c r="O602" i="1" s="1"/>
  <c r="J603" i="1"/>
  <c r="L603" i="1" s="1"/>
  <c r="N603" i="1" s="1"/>
  <c r="O603" i="1" s="1"/>
  <c r="J604" i="1"/>
  <c r="L604" i="1" s="1"/>
  <c r="N604" i="1" s="1"/>
  <c r="O604" i="1" s="1"/>
  <c r="J605" i="1"/>
  <c r="L605" i="1" s="1"/>
  <c r="N605" i="1" s="1"/>
  <c r="O605" i="1" s="1"/>
  <c r="J606" i="1"/>
  <c r="L606" i="1" s="1"/>
  <c r="N606" i="1" s="1"/>
  <c r="O606" i="1" s="1"/>
  <c r="J607" i="1"/>
  <c r="L607" i="1" s="1"/>
  <c r="N607" i="1" s="1"/>
  <c r="O607" i="1" s="1"/>
  <c r="J608" i="1"/>
  <c r="L608" i="1" s="1"/>
  <c r="N608" i="1" s="1"/>
  <c r="O608" i="1" s="1"/>
  <c r="J609" i="1"/>
  <c r="L609" i="1" s="1"/>
  <c r="N609" i="1" s="1"/>
  <c r="O609" i="1" s="1"/>
  <c r="J610" i="1"/>
  <c r="L610" i="1" s="1"/>
  <c r="N610" i="1" s="1"/>
  <c r="O610" i="1" s="1"/>
  <c r="J611" i="1"/>
  <c r="L611" i="1" s="1"/>
  <c r="N611" i="1" s="1"/>
  <c r="O611" i="1" s="1"/>
  <c r="J612" i="1"/>
  <c r="L612" i="1" s="1"/>
  <c r="N612" i="1" s="1"/>
  <c r="O612" i="1" s="1"/>
  <c r="J613" i="1"/>
  <c r="L613" i="1" s="1"/>
  <c r="N613" i="1" s="1"/>
  <c r="O613" i="1" s="1"/>
  <c r="J614" i="1"/>
  <c r="L614" i="1" s="1"/>
  <c r="N614" i="1" s="1"/>
  <c r="O614" i="1" s="1"/>
  <c r="J615" i="1"/>
  <c r="L615" i="1" s="1"/>
  <c r="N615" i="1" s="1"/>
  <c r="O615" i="1" s="1"/>
  <c r="J616" i="1"/>
  <c r="L616" i="1" s="1"/>
  <c r="N616" i="1" s="1"/>
  <c r="O616" i="1" s="1"/>
  <c r="J617" i="1"/>
  <c r="L617" i="1" s="1"/>
  <c r="N617" i="1" s="1"/>
  <c r="O617" i="1" s="1"/>
  <c r="J618" i="1"/>
  <c r="L618" i="1" s="1"/>
  <c r="N618" i="1" s="1"/>
  <c r="O618" i="1" s="1"/>
  <c r="J619" i="1"/>
  <c r="L619" i="1" s="1"/>
  <c r="N619" i="1" s="1"/>
  <c r="O619" i="1" s="1"/>
  <c r="J620" i="1"/>
  <c r="L620" i="1" s="1"/>
  <c r="N620" i="1" s="1"/>
  <c r="O620" i="1" s="1"/>
  <c r="J621" i="1"/>
  <c r="L621" i="1" s="1"/>
  <c r="N621" i="1" s="1"/>
  <c r="O621" i="1" s="1"/>
  <c r="J622" i="1"/>
  <c r="L622" i="1" s="1"/>
  <c r="N622" i="1" s="1"/>
  <c r="O622" i="1" s="1"/>
  <c r="J623" i="1"/>
  <c r="L623" i="1" s="1"/>
  <c r="N623" i="1" s="1"/>
  <c r="O623" i="1" s="1"/>
  <c r="J624" i="1"/>
  <c r="L624" i="1" s="1"/>
  <c r="N624" i="1" s="1"/>
  <c r="O624" i="1" s="1"/>
  <c r="J625" i="1"/>
  <c r="L625" i="1" s="1"/>
  <c r="N625" i="1" s="1"/>
  <c r="O625" i="1" s="1"/>
  <c r="J626" i="1"/>
  <c r="L626" i="1" s="1"/>
  <c r="N626" i="1" s="1"/>
  <c r="O626" i="1" s="1"/>
  <c r="J627" i="1"/>
  <c r="L627" i="1" s="1"/>
  <c r="N627" i="1" s="1"/>
  <c r="O627" i="1" s="1"/>
  <c r="J628" i="1"/>
  <c r="L628" i="1" s="1"/>
  <c r="N628" i="1" s="1"/>
  <c r="O628" i="1" s="1"/>
  <c r="J629" i="1"/>
  <c r="L629" i="1" s="1"/>
  <c r="N629" i="1" s="1"/>
  <c r="O629" i="1" s="1"/>
  <c r="J630" i="1"/>
  <c r="L630" i="1" s="1"/>
  <c r="N630" i="1" s="1"/>
  <c r="O630" i="1" s="1"/>
  <c r="J631" i="1"/>
  <c r="L631" i="1" s="1"/>
  <c r="N631" i="1" s="1"/>
  <c r="O631" i="1" s="1"/>
  <c r="J632" i="1"/>
  <c r="L632" i="1" s="1"/>
  <c r="N632" i="1" s="1"/>
  <c r="O632" i="1" s="1"/>
  <c r="J633" i="1"/>
  <c r="L633" i="1" s="1"/>
  <c r="N633" i="1" s="1"/>
  <c r="O633" i="1" s="1"/>
  <c r="J634" i="1"/>
  <c r="L634" i="1" s="1"/>
  <c r="N634" i="1" s="1"/>
  <c r="O634" i="1" s="1"/>
  <c r="J635" i="1"/>
  <c r="L635" i="1" s="1"/>
  <c r="N635" i="1" s="1"/>
  <c r="O635" i="1" s="1"/>
  <c r="J636" i="1"/>
  <c r="L636" i="1" s="1"/>
  <c r="N636" i="1" s="1"/>
  <c r="O636" i="1" s="1"/>
  <c r="J637" i="1"/>
  <c r="L637" i="1" s="1"/>
  <c r="N637" i="1" s="1"/>
  <c r="O637" i="1" s="1"/>
  <c r="J638" i="1"/>
  <c r="L638" i="1" s="1"/>
  <c r="N638" i="1" s="1"/>
  <c r="O638" i="1" s="1"/>
  <c r="J639" i="1"/>
  <c r="L639" i="1" s="1"/>
  <c r="N639" i="1" s="1"/>
  <c r="O639" i="1" s="1"/>
  <c r="J640" i="1"/>
  <c r="L640" i="1" s="1"/>
  <c r="N640" i="1" s="1"/>
  <c r="O640" i="1" s="1"/>
  <c r="J641" i="1"/>
  <c r="L641" i="1" s="1"/>
  <c r="N641" i="1" s="1"/>
  <c r="O641" i="1" s="1"/>
  <c r="J642" i="1"/>
  <c r="L642" i="1" s="1"/>
  <c r="N642" i="1" s="1"/>
  <c r="O642" i="1" s="1"/>
  <c r="J643" i="1"/>
  <c r="L643" i="1" s="1"/>
  <c r="N643" i="1" s="1"/>
  <c r="O643" i="1" s="1"/>
  <c r="J644" i="1"/>
  <c r="L644" i="1" s="1"/>
  <c r="N644" i="1" s="1"/>
  <c r="O644" i="1" s="1"/>
  <c r="J645" i="1"/>
  <c r="L645" i="1" s="1"/>
  <c r="N645" i="1" s="1"/>
  <c r="O645" i="1" s="1"/>
  <c r="J646" i="1"/>
  <c r="L646" i="1" s="1"/>
  <c r="N646" i="1" s="1"/>
  <c r="O646" i="1" s="1"/>
  <c r="J647" i="1"/>
  <c r="L647" i="1" s="1"/>
  <c r="N647" i="1" s="1"/>
  <c r="O647" i="1" s="1"/>
  <c r="J648" i="1"/>
  <c r="L648" i="1" s="1"/>
  <c r="N648" i="1" s="1"/>
  <c r="O648" i="1" s="1"/>
  <c r="J649" i="1"/>
  <c r="L649" i="1" s="1"/>
  <c r="N649" i="1" s="1"/>
  <c r="O649" i="1" s="1"/>
  <c r="J650" i="1"/>
  <c r="L650" i="1" s="1"/>
  <c r="N650" i="1" s="1"/>
  <c r="O650" i="1" s="1"/>
  <c r="J651" i="1"/>
  <c r="L651" i="1" s="1"/>
  <c r="N651" i="1" s="1"/>
  <c r="O651" i="1" s="1"/>
  <c r="J652" i="1"/>
  <c r="L652" i="1" s="1"/>
  <c r="N652" i="1" s="1"/>
  <c r="O652" i="1" s="1"/>
  <c r="J653" i="1"/>
  <c r="L653" i="1" s="1"/>
  <c r="N653" i="1" s="1"/>
  <c r="O653" i="1" s="1"/>
  <c r="J654" i="1"/>
  <c r="L654" i="1" s="1"/>
  <c r="N654" i="1" s="1"/>
  <c r="O654" i="1" s="1"/>
  <c r="J655" i="1"/>
  <c r="L655" i="1" s="1"/>
  <c r="N655" i="1" s="1"/>
  <c r="O655" i="1" s="1"/>
  <c r="J656" i="1"/>
  <c r="L656" i="1" s="1"/>
  <c r="N656" i="1" s="1"/>
  <c r="O656" i="1" s="1"/>
  <c r="J657" i="1"/>
  <c r="L657" i="1" s="1"/>
  <c r="N657" i="1" s="1"/>
  <c r="O657" i="1" s="1"/>
  <c r="J658" i="1"/>
  <c r="L658" i="1" s="1"/>
  <c r="N658" i="1" s="1"/>
  <c r="O658" i="1" s="1"/>
  <c r="J659" i="1"/>
  <c r="L659" i="1" s="1"/>
  <c r="N659" i="1" s="1"/>
  <c r="O659" i="1" s="1"/>
  <c r="J660" i="1"/>
  <c r="L660" i="1" s="1"/>
  <c r="N660" i="1" s="1"/>
  <c r="O660" i="1" s="1"/>
  <c r="J661" i="1"/>
  <c r="L661" i="1" s="1"/>
  <c r="N661" i="1" s="1"/>
  <c r="O661" i="1" s="1"/>
  <c r="J662" i="1"/>
  <c r="L662" i="1" s="1"/>
  <c r="N662" i="1" s="1"/>
  <c r="O662" i="1" s="1"/>
  <c r="J663" i="1"/>
  <c r="L663" i="1" s="1"/>
  <c r="N663" i="1" s="1"/>
  <c r="O663" i="1" s="1"/>
  <c r="J664" i="1"/>
  <c r="L664" i="1" s="1"/>
  <c r="N664" i="1" s="1"/>
  <c r="O664" i="1" s="1"/>
  <c r="J665" i="1"/>
  <c r="L665" i="1" s="1"/>
  <c r="N665" i="1" s="1"/>
  <c r="O665" i="1" s="1"/>
  <c r="J666" i="1"/>
  <c r="L666" i="1" s="1"/>
  <c r="N666" i="1" s="1"/>
  <c r="O666" i="1" s="1"/>
  <c r="J667" i="1"/>
  <c r="L667" i="1" s="1"/>
  <c r="N667" i="1" s="1"/>
  <c r="O667" i="1" s="1"/>
  <c r="J668" i="1"/>
  <c r="L668" i="1" s="1"/>
  <c r="N668" i="1" s="1"/>
  <c r="O668" i="1" s="1"/>
  <c r="J669" i="1"/>
  <c r="L669" i="1" s="1"/>
  <c r="N669" i="1" s="1"/>
  <c r="O669" i="1" s="1"/>
  <c r="J670" i="1"/>
  <c r="L670" i="1" s="1"/>
  <c r="N670" i="1" s="1"/>
  <c r="O670" i="1" s="1"/>
  <c r="J671" i="1"/>
  <c r="L671" i="1" s="1"/>
  <c r="N671" i="1" s="1"/>
  <c r="O671" i="1" s="1"/>
  <c r="J672" i="1"/>
  <c r="L672" i="1" s="1"/>
  <c r="N672" i="1" s="1"/>
  <c r="O672" i="1" s="1"/>
  <c r="J673" i="1"/>
  <c r="L673" i="1" s="1"/>
  <c r="N673" i="1" s="1"/>
  <c r="O673" i="1" s="1"/>
  <c r="J674" i="1"/>
  <c r="L674" i="1" s="1"/>
  <c r="N674" i="1" s="1"/>
  <c r="O674" i="1" s="1"/>
  <c r="J675" i="1"/>
  <c r="L675" i="1" s="1"/>
  <c r="N675" i="1" s="1"/>
  <c r="O675" i="1" s="1"/>
  <c r="J676" i="1"/>
  <c r="L676" i="1" s="1"/>
  <c r="N676" i="1" s="1"/>
  <c r="O676" i="1" s="1"/>
  <c r="J677" i="1"/>
  <c r="L677" i="1" s="1"/>
  <c r="N677" i="1" s="1"/>
  <c r="O677" i="1" s="1"/>
  <c r="J678" i="1"/>
  <c r="L678" i="1" s="1"/>
  <c r="N678" i="1" s="1"/>
  <c r="O678" i="1" s="1"/>
  <c r="J679" i="1"/>
  <c r="L679" i="1" s="1"/>
  <c r="N679" i="1" s="1"/>
  <c r="O679" i="1" s="1"/>
  <c r="J680" i="1"/>
  <c r="L680" i="1" s="1"/>
  <c r="N680" i="1" s="1"/>
  <c r="O680" i="1" s="1"/>
  <c r="J681" i="1"/>
  <c r="L681" i="1" s="1"/>
  <c r="N681" i="1" s="1"/>
  <c r="O681" i="1" s="1"/>
  <c r="J682" i="1"/>
  <c r="L682" i="1" s="1"/>
  <c r="N682" i="1" s="1"/>
  <c r="O682" i="1" s="1"/>
  <c r="J683" i="1"/>
  <c r="L683" i="1" s="1"/>
  <c r="N683" i="1" s="1"/>
  <c r="O683" i="1" s="1"/>
  <c r="J684" i="1"/>
  <c r="L684" i="1" s="1"/>
  <c r="N684" i="1" s="1"/>
  <c r="O684" i="1" s="1"/>
  <c r="J685" i="1"/>
  <c r="L685" i="1" s="1"/>
  <c r="N685" i="1" s="1"/>
  <c r="O685" i="1" s="1"/>
  <c r="J686" i="1"/>
  <c r="L686" i="1" s="1"/>
  <c r="N686" i="1" s="1"/>
  <c r="O686" i="1" s="1"/>
  <c r="J687" i="1"/>
  <c r="L687" i="1" s="1"/>
  <c r="N687" i="1" s="1"/>
  <c r="O687" i="1" s="1"/>
  <c r="J688" i="1"/>
  <c r="L688" i="1" s="1"/>
  <c r="N688" i="1" s="1"/>
  <c r="O688" i="1" s="1"/>
  <c r="J689" i="1"/>
  <c r="L689" i="1" s="1"/>
  <c r="N689" i="1" s="1"/>
  <c r="O689" i="1" s="1"/>
  <c r="J690" i="1"/>
  <c r="L690" i="1" s="1"/>
  <c r="N690" i="1" s="1"/>
  <c r="O690" i="1" s="1"/>
  <c r="J691" i="1"/>
  <c r="L691" i="1" s="1"/>
  <c r="N691" i="1" s="1"/>
  <c r="O691" i="1" s="1"/>
  <c r="J692" i="1"/>
  <c r="L692" i="1" s="1"/>
  <c r="N692" i="1" s="1"/>
  <c r="O692" i="1" s="1"/>
  <c r="J693" i="1"/>
  <c r="L693" i="1" s="1"/>
  <c r="N693" i="1" s="1"/>
  <c r="O693" i="1" s="1"/>
  <c r="J694" i="1"/>
  <c r="L694" i="1" s="1"/>
  <c r="N694" i="1" s="1"/>
  <c r="O694" i="1" s="1"/>
  <c r="J695" i="1"/>
  <c r="L695" i="1" s="1"/>
  <c r="N695" i="1" s="1"/>
  <c r="O695" i="1" s="1"/>
  <c r="J696" i="1"/>
  <c r="L696" i="1" s="1"/>
  <c r="N696" i="1" s="1"/>
  <c r="O696" i="1" s="1"/>
  <c r="J697" i="1"/>
  <c r="L697" i="1" s="1"/>
  <c r="N697" i="1" s="1"/>
  <c r="O697" i="1" s="1"/>
  <c r="J698" i="1"/>
  <c r="L698" i="1" s="1"/>
  <c r="N698" i="1" s="1"/>
  <c r="O698" i="1" s="1"/>
  <c r="J699" i="1"/>
  <c r="L699" i="1" s="1"/>
  <c r="N699" i="1" s="1"/>
  <c r="O699" i="1" s="1"/>
  <c r="J700" i="1"/>
  <c r="L700" i="1" s="1"/>
  <c r="N700" i="1" s="1"/>
  <c r="O700" i="1" s="1"/>
  <c r="J701" i="1"/>
  <c r="L701" i="1" s="1"/>
  <c r="N701" i="1" s="1"/>
  <c r="O701" i="1" s="1"/>
  <c r="J2" i="1"/>
  <c r="L2" i="1" s="1"/>
  <c r="B3" i="1"/>
  <c r="B4" i="1"/>
  <c r="B5" i="1"/>
  <c r="B6" i="1"/>
  <c r="B7" i="1"/>
  <c r="B8" i="1"/>
  <c r="B9" i="1"/>
  <c r="B10" i="1"/>
  <c r="B11" i="1"/>
  <c r="B12" i="1"/>
  <c r="B13" i="1"/>
  <c r="B14" i="1"/>
  <c r="B15" i="1"/>
  <c r="B16" i="1"/>
  <c r="B17"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2" i="1"/>
  <c r="R33" i="2" l="1"/>
  <c r="P33" i="2"/>
  <c r="N18" i="1"/>
  <c r="O18" i="1" s="1"/>
  <c r="O13" i="2"/>
  <c r="N42" i="1"/>
  <c r="O42" i="1" s="1"/>
  <c r="O15" i="2"/>
  <c r="N11" i="1"/>
  <c r="O11" i="1" s="1"/>
  <c r="O12" i="2"/>
  <c r="N2" i="1"/>
  <c r="O2" i="2"/>
  <c r="F20" i="2"/>
  <c r="F19" i="2"/>
  <c r="F18" i="2"/>
  <c r="F23" i="2"/>
  <c r="F22" i="2"/>
  <c r="F21" i="2"/>
  <c r="C18" i="2"/>
  <c r="C22" i="2"/>
  <c r="C23" i="2"/>
  <c r="C21" i="2"/>
  <c r="C20" i="2"/>
  <c r="C19" i="2"/>
  <c r="O17" i="2" l="1"/>
  <c r="P15" i="2" s="1"/>
  <c r="P13" i="2"/>
  <c r="Q17" i="2"/>
  <c r="P3" i="2"/>
  <c r="P7" i="2"/>
  <c r="O2" i="1"/>
  <c r="O5" i="2" s="1"/>
  <c r="O4" i="2"/>
  <c r="P4" i="2" s="1"/>
  <c r="C24" i="2"/>
  <c r="F24" i="2"/>
  <c r="R13" i="2" l="1"/>
  <c r="R11" i="2"/>
  <c r="R12" i="2"/>
  <c r="R14" i="2"/>
  <c r="R25" i="2"/>
  <c r="R16" i="2"/>
  <c r="R15" i="2"/>
  <c r="P14" i="2"/>
  <c r="P16" i="2"/>
  <c r="P17" i="2"/>
  <c r="P12" i="2"/>
  <c r="R17" i="2" l="1"/>
  <c r="P25" i="2"/>
</calcChain>
</file>

<file path=xl/sharedStrings.xml><?xml version="1.0" encoding="utf-8"?>
<sst xmlns="http://schemas.openxmlformats.org/spreadsheetml/2006/main" count="2997" uniqueCount="86">
  <si>
    <t>segment</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</si>
  <si>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</si>
  <si>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</si>
  <si>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</si>
  <si>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</si>
  <si>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</si>
  <si>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</si>
  <si>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</si>
  <si>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</si>
  <si>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</si>
  <si>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</si>
  <si>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</si>
  <si>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</si>
  <si>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</si>
  <si>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</si>
  <si>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</si>
  <si>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</si>
  <si>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</si>
  <si>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</si>
  <si>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</si>
  <si>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</si>
  <si>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</si>
  <si>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</si>
  <si>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</si>
  <si>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</si>
  <si>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</si>
  <si>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</si>
  <si>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mexico</t>
  </si>
  <si>
    <t>Paseo</t>
  </si>
  <si>
    <t>Small Business</t>
  </si>
  <si>
    <t>Velo</t>
  </si>
  <si>
    <t>VTT</t>
  </si>
  <si>
    <t>Amarilla</t>
  </si>
  <si>
    <t>Low</t>
  </si>
  <si>
    <t>Medium</t>
  </si>
  <si>
    <t>High</t>
  </si>
  <si>
    <t>Profit Margin</t>
  </si>
  <si>
    <t>Segment (Clean)</t>
  </si>
  <si>
    <t>Country (Clean)</t>
  </si>
  <si>
    <t>Mean</t>
  </si>
  <si>
    <t>Standard Error</t>
  </si>
  <si>
    <t>Median</t>
  </si>
  <si>
    <t>Mode</t>
  </si>
  <si>
    <t>Standard Deviation</t>
  </si>
  <si>
    <t>Sample Variance</t>
  </si>
  <si>
    <t>Kurtosis</t>
  </si>
  <si>
    <t>Skewness</t>
  </si>
  <si>
    <t>Range</t>
  </si>
  <si>
    <t>Minimum</t>
  </si>
  <si>
    <t>Maximum</t>
  </si>
  <si>
    <t>Sum</t>
  </si>
  <si>
    <t>Count</t>
  </si>
  <si>
    <t/>
  </si>
  <si>
    <t>United States Of America</t>
  </si>
  <si>
    <t>Total</t>
  </si>
  <si>
    <t>Row Labels</t>
  </si>
  <si>
    <t>Grand Total</t>
  </si>
  <si>
    <t>Sum of  Sales</t>
  </si>
  <si>
    <t>Sum of COGS</t>
  </si>
  <si>
    <t>January</t>
  </si>
  <si>
    <t>February</t>
  </si>
  <si>
    <t>March</t>
  </si>
  <si>
    <t>April</t>
  </si>
  <si>
    <t>May</t>
  </si>
  <si>
    <t>June</t>
  </si>
  <si>
    <t>July</t>
  </si>
  <si>
    <t>August</t>
  </si>
  <si>
    <t>September</t>
  </si>
  <si>
    <t>October</t>
  </si>
  <si>
    <t>November</t>
  </si>
  <si>
    <t>December</t>
  </si>
  <si>
    <t>USA</t>
  </si>
  <si>
    <r>
      <t xml:space="preserve">                FINANCIAL PERFORMANCE DASHBOARD
</t>
    </r>
    <r>
      <rPr>
        <b/>
        <sz val="10"/>
        <color theme="2"/>
        <rFont val="Arial"/>
        <family val="2"/>
        <scheme val="minor"/>
      </rPr>
      <t xml:space="preserve">                        Overview of Sales, Expenses, Profitability and Trends</t>
    </r>
  </si>
  <si>
    <t>Total Sales</t>
  </si>
  <si>
    <t>Total COGS</t>
  </si>
  <si>
    <t>Total Profit</t>
  </si>
  <si>
    <t>Average Profit Margin</t>
  </si>
  <si>
    <t>Total Units Sold</t>
  </si>
  <si>
    <t>Total Discounts</t>
  </si>
  <si>
    <t>Country</t>
  </si>
  <si>
    <t>Sales and COGS by Product</t>
  </si>
  <si>
    <t>Sales and COGS by Country</t>
  </si>
  <si>
    <t>Sales and COGS by Segment</t>
  </si>
  <si>
    <t>Sales and COGS by Month</t>
  </si>
  <si>
    <t>Sales</t>
  </si>
  <si>
    <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</si>
</sst>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
    <numFmt numFmtId="165" formatCode="m/d/yy\ h:mm"/>
    <numFmt numFmtId="166" formatCode="&quot;Data as of:&quot;\_x000a_dd/mm/yyyy\_x000a_"/>
    <numFmt numFmtId="167" formatCode="0.0%"/>
    <numFmt numFmtId="168" formatCode="_(* #,##0_);_(* \(#,##0\);_(* &quot;-&quot;??_);_(@_)"/>
  </numFmts>
  <fonts count="11" x14ac:knownFonts="1">
    <font>
      <sz val="10"/>
      <color rgb="FF000000"/>
      <name val="Arial"/>
      <scheme val="minor"/>
    </font>
    <font>
      <b/>
      <sz val="10"/>
      <color theme="1"/>
      <name val="Arial"/>
      <scheme val="minor"/>
    </font>
    <font>
      <sz val="10"/>
      <color theme="1"/>
      <name val="Arial"/>
      <scheme val="minor"/>
    </font>
    <font>
      <sz val="10"/>
      <color rgb="FF000000"/>
      <name val="Arial"/>
      <scheme val="minor"/>
    </font>
    <font>
      <b/>
      <sz val="10"/>
      <color theme="1"/>
      <name val="Arial"/>
      <family val="2"/>
      <scheme val="minor"/>
    </font>
    <font>
      <b/>
      <i/>
      <sz val="10"/>
      <color rgb="FF000000"/>
      <name val="Arial"/>
      <family val="2"/>
      <scheme val="minor"/>
    </font>
    <font>
      <b/>
      <sz val="10"/>
      <color rgb="FF000000"/>
      <name val="Arial"/>
      <family val="2"/>
      <scheme val="minor"/>
    </font>
    <font>
      <b/>
      <sz val="10"/>
      <color theme="2"/>
      <name val="Arial"/>
      <family val="2"/>
      <scheme val="minor"/>
    </font>
    <font>
      <b/>
      <sz val="16"/>
      <color theme="2"/>
      <name val="Arial"/>
      <family val="2"/>
      <scheme val="minor"/>
    </font>
    <font>
      <b/>
      <sz val="11"/>
      <color theme="2"/>
      <name val="Arial"/>
      <family val="2"/>
      <scheme val="minor"/>
    </font>
    <font>
      <sz val="10"/>
      <color rgb="FF000000"/>
      <name val="Arial"/>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002060"/>
        <bgColor theme="0"/>
      </patternFill>
    </fill>
  </fills>
  <borders count="3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rgb="FF002060"/>
      </left>
      <right style="thin">
        <color rgb="FF002060"/>
      </right>
      <top style="medium">
        <color rgb="FF002060"/>
      </top>
      <bottom style="thin">
        <color rgb="FF002060"/>
      </bottom>
      <diagonal/>
    </border>
    <border>
      <left style="thin">
        <color rgb="FF002060"/>
      </left>
      <right style="medium">
        <color rgb="FF002060"/>
      </right>
      <top style="medium">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82">
    <xf numFmtId="0" fontId="0" fillId="0" borderId="0" xfId="0"/>
    <xf numFmtId="0" fontId="1" fillId="0" borderId="0" xfId="0" applyFont="1" applyAlignment="1">
      <alignment horizontal="left" wrapText="1"/>
    </xf>
    <xf numFmtId="0" fontId="2" fillId="0" borderId="0" xfId="0" applyFont="1"/>
    <xf numFmtId="44" fontId="2" fillId="0" borderId="0" xfId="0" applyNumberFormat="1" applyFont="1"/>
    <xf numFmtId="164" fontId="2" fillId="0" borderId="0" xfId="0" applyNumberFormat="1" applyFont="1"/>
    <xf numFmtId="1" fontId="2" fillId="0" borderId="0" xfId="0" applyNumberFormat="1" applyFont="1"/>
    <xf numFmtId="49" fontId="2" fillId="0" borderId="0" xfId="0" applyNumberFormat="1" applyFont="1"/>
    <xf numFmtId="165" fontId="2" fillId="0" borderId="0" xfId="0" applyNumberFormat="1" applyFont="1"/>
    <xf numFmtId="0" fontId="1" fillId="2" borderId="0" xfId="0" applyFont="1" applyFill="1" applyAlignment="1">
      <alignment horizontal="left" wrapText="1"/>
    </xf>
    <xf numFmtId="44" fontId="1" fillId="2" borderId="0" xfId="0" applyNumberFormat="1" applyFont="1" applyFill="1" applyAlignment="1">
      <alignment horizontal="left" wrapText="1"/>
    </xf>
    <xf numFmtId="164" fontId="1" fillId="2" borderId="0" xfId="0" applyNumberFormat="1" applyFont="1" applyFill="1" applyAlignment="1">
      <alignment horizontal="left" wrapText="1"/>
    </xf>
    <xf numFmtId="1" fontId="1" fillId="2" borderId="0" xfId="0" applyNumberFormat="1" applyFont="1" applyFill="1" applyAlignment="1">
      <alignment horizontal="left" wrapText="1"/>
    </xf>
    <xf numFmtId="43" fontId="1" fillId="2" borderId="0" xfId="1" applyFont="1" applyFill="1" applyAlignment="1">
      <alignment horizontal="left" wrapText="1"/>
    </xf>
    <xf numFmtId="43" fontId="2" fillId="0" borderId="0" xfId="1" applyFont="1"/>
    <xf numFmtId="43" fontId="0" fillId="0" borderId="0" xfId="1" applyFont="1"/>
    <xf numFmtId="9" fontId="1" fillId="2" borderId="0" xfId="2" applyFont="1" applyFill="1" applyAlignment="1">
      <alignment horizontal="left" wrapText="1"/>
    </xf>
    <xf numFmtId="9" fontId="2" fillId="0" borderId="0" xfId="2" applyFont="1"/>
    <xf numFmtId="9" fontId="0" fillId="0" borderId="0" xfId="2" applyFont="1"/>
    <xf numFmtId="14" fontId="1" fillId="2" borderId="0" xfId="0" applyNumberFormat="1" applyFont="1" applyFill="1" applyAlignment="1">
      <alignment horizontal="left" wrapText="1"/>
    </xf>
    <xf numFmtId="14" fontId="2" fillId="0" borderId="0" xfId="0" applyNumberFormat="1" applyFont="1"/>
    <xf numFmtId="14" fontId="0" fillId="0" borderId="0" xfId="0" applyNumberFormat="1"/>
    <xf numFmtId="2" fontId="1" fillId="2" borderId="0" xfId="0" applyNumberFormat="1" applyFont="1" applyFill="1" applyAlignment="1">
      <alignment horizontal="left" wrapText="1"/>
    </xf>
    <xf numFmtId="2" fontId="2" fillId="0" borderId="0" xfId="0" applyNumberFormat="1" applyFont="1"/>
    <xf numFmtId="2" fontId="0" fillId="0" borderId="0" xfId="0" applyNumberFormat="1"/>
    <xf numFmtId="0" fontId="4" fillId="2" borderId="0" xfId="0" applyFont="1" applyFill="1" applyAlignment="1">
      <alignment horizontal="left" wrapText="1"/>
    </xf>
    <xf numFmtId="43" fontId="0" fillId="0" borderId="0" xfId="1" applyFont="1" applyFill="1" applyBorder="1" applyAlignment="1"/>
    <xf numFmtId="0" fontId="0" fillId="0" borderId="3" xfId="0" applyBorder="1"/>
    <xf numFmtId="43" fontId="0" fillId="0" borderId="4" xfId="1" applyFont="1" applyFill="1" applyBorder="1" applyAlignment="1"/>
    <xf numFmtId="0" fontId="0" fillId="0" borderId="5" xfId="0" applyBorder="1"/>
    <xf numFmtId="43" fontId="0" fillId="0" borderId="6" xfId="1" applyFont="1" applyFill="1" applyBorder="1" applyAlignment="1"/>
    <xf numFmtId="0" fontId="0" fillId="0" borderId="7" xfId="0" applyBorder="1"/>
    <xf numFmtId="43" fontId="0" fillId="0" borderId="8" xfId="1" applyFont="1" applyFill="1" applyBorder="1" applyAlignment="1"/>
    <xf numFmtId="0" fontId="0" fillId="0" borderId="9" xfId="0" applyBorder="1"/>
    <xf numFmtId="43" fontId="0" fillId="0" borderId="10" xfId="1" applyFont="1" applyFill="1" applyBorder="1" applyAlignment="1"/>
    <xf numFmtId="0" fontId="0" fillId="0" borderId="6" xfId="0" applyBorder="1"/>
    <xf numFmtId="0" fontId="0" fillId="0" borderId="10" xfId="0" applyBorder="1"/>
    <xf numFmtId="0" fontId="6" fillId="0" borderId="13" xfId="0" applyFont="1" applyBorder="1"/>
    <xf numFmtId="0" fontId="6" fillId="0" borderId="14" xfId="0" applyFont="1" applyBorder="1"/>
    <xf numFmtId="0" fontId="6" fillId="0" borderId="1" xfId="0" applyFont="1" applyBorder="1"/>
    <xf numFmtId="0" fontId="6" fillId="0" borderId="2" xfId="0" applyFont="1" applyBorder="1"/>
    <xf numFmtId="0" fontId="0" fillId="0" borderId="4" xfId="0" applyBorder="1"/>
    <xf numFmtId="0" fontId="6" fillId="0" borderId="15" xfId="0" applyFont="1" applyBorder="1"/>
    <xf numFmtId="0" fontId="6" fillId="0" borderId="16" xfId="0" applyFont="1" applyBorder="1"/>
    <xf numFmtId="0" fontId="0" fillId="0" borderId="8" xfId="0" applyBorder="1"/>
    <xf numFmtId="0" fontId="0" fillId="0" borderId="0" xfId="0" pivotButton="1"/>
    <xf numFmtId="0" fontId="0" fillId="0" borderId="0" xfId="0" applyAlignment="1">
      <alignment horizontal="left"/>
    </xf>
    <xf numFmtId="164" fontId="0" fillId="0" borderId="0" xfId="0" applyNumberFormat="1"/>
    <xf numFmtId="0" fontId="8" fillId="0" borderId="0" xfId="0" applyFont="1" applyAlignment="1">
      <alignment vertical="center"/>
    </xf>
    <xf numFmtId="0" fontId="8" fillId="3" borderId="19" xfId="0" applyFont="1" applyFill="1" applyBorder="1" applyAlignment="1">
      <alignment vertical="center" wrapText="1"/>
    </xf>
    <xf numFmtId="166" fontId="9" fillId="3" borderId="18" xfId="0" applyNumberFormat="1" applyFont="1" applyFill="1" applyBorder="1" applyAlignment="1">
      <alignment horizontal="left" vertical="top" wrapText="1"/>
    </xf>
    <xf numFmtId="167" fontId="0" fillId="0" borderId="0" xfId="2" applyNumberFormat="1" applyFont="1"/>
    <xf numFmtId="0" fontId="6" fillId="0" borderId="20" xfId="0" applyFont="1" applyBorder="1"/>
    <xf numFmtId="0" fontId="6" fillId="0" borderId="22" xfId="0" applyFont="1" applyBorder="1"/>
    <xf numFmtId="0" fontId="6" fillId="0" borderId="24" xfId="0" applyFont="1" applyBorder="1"/>
    <xf numFmtId="168" fontId="0" fillId="0" borderId="21" xfId="0" applyNumberFormat="1" applyBorder="1"/>
    <xf numFmtId="168" fontId="0" fillId="0" borderId="23" xfId="0" applyNumberFormat="1" applyBorder="1"/>
    <xf numFmtId="168" fontId="0" fillId="0" borderId="25" xfId="0" applyNumberFormat="1" applyBorder="1"/>
    <xf numFmtId="167" fontId="0" fillId="0" borderId="23" xfId="2" applyNumberFormat="1" applyFont="1" applyBorder="1"/>
    <xf numFmtId="0" fontId="8" fillId="3" borderId="17" xfId="0" applyFont="1" applyFill="1" applyBorder="1" applyAlignment="1">
      <alignment horizontal="left" vertical="center" wrapText="1"/>
    </xf>
    <xf numFmtId="0" fontId="8" fillId="3" borderId="18" xfId="0" applyFont="1" applyFill="1" applyBorder="1" applyAlignment="1">
      <alignment horizontal="left" vertical="center" wrapText="1"/>
    </xf>
    <xf numFmtId="0" fontId="5" fillId="0" borderId="11" xfId="0" applyFont="1" applyBorder="1" applyAlignment="1">
      <alignment horizontal="center"/>
    </xf>
    <xf numFmtId="0" fontId="5" fillId="0" borderId="12"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6" fillId="0" borderId="0" xfId="0" applyFont="1" applyAlignment="1">
      <alignment horizontal="center"/>
    </xf>
    <xf numFmtId="43" fontId="0" fillId="0" borderId="26" xfId="1" applyFont="1" applyBorder="1"/>
    <xf numFmtId="43" fontId="0" fillId="0" borderId="27" xfId="1" applyFont="1" applyBorder="1"/>
    <xf numFmtId="0" fontId="0" fillId="0" borderId="29" xfId="0" applyBorder="1"/>
    <xf numFmtId="43" fontId="0" fillId="0" borderId="30" xfId="1" applyFont="1" applyBorder="1"/>
    <xf numFmtId="43" fontId="6" fillId="0" borderId="28" xfId="1" applyFont="1" applyBorder="1"/>
    <xf numFmtId="0" fontId="6" fillId="0" borderId="28" xfId="0" applyFont="1" applyBorder="1"/>
    <xf numFmtId="9" fontId="0" fillId="0" borderId="10" xfId="2" applyFont="1" applyBorder="1"/>
    <xf numFmtId="9" fontId="0" fillId="0" borderId="6" xfId="2" applyFont="1" applyBorder="1"/>
    <xf numFmtId="9" fontId="0" fillId="0" borderId="31" xfId="2" applyFont="1" applyBorder="1"/>
    <xf numFmtId="9" fontId="6" fillId="0" borderId="28" xfId="2" applyFont="1" applyBorder="1"/>
    <xf numFmtId="0" fontId="6" fillId="0" borderId="32" xfId="0" applyFont="1" applyFill="1" applyBorder="1"/>
    <xf numFmtId="0" fontId="6" fillId="0" borderId="12" xfId="0" applyFont="1" applyFill="1" applyBorder="1"/>
    <xf numFmtId="9" fontId="0" fillId="0" borderId="33" xfId="2" applyFont="1" applyBorder="1"/>
    <xf numFmtId="9" fontId="0" fillId="0" borderId="34" xfId="2" applyFont="1" applyBorder="1"/>
    <xf numFmtId="9" fontId="0" fillId="0" borderId="35" xfId="2" applyFont="1" applyBorder="1"/>
    <xf numFmtId="9" fontId="6" fillId="0" borderId="14" xfId="2" applyFont="1" applyBorder="1"/>
    <xf numFmtId="0" fontId="10" fillId="0" borderId="5" xfId="0" applyFont="1" applyBorder="1"/>
  </cellXfs>
  <cellStyles count="3">
    <cellStyle name="Comma" xfId="1" builtinId="3"/>
    <cellStyle name="Normal" xfId="0" builtinId="0"/>
    <cellStyle name="Percent" xfId="2" builtinId="5"/>
  </cellStyles>
  <dxfs count="21">
    <dxf>
      <fill>
        <patternFill>
          <bgColor rgb="FF00B050"/>
        </patternFill>
      </fill>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1" formatCode="0"/>
    </dxf>
    <dxf>
      <font>
        <b val="0"/>
        <i val="0"/>
        <strike val="0"/>
        <condense val="0"/>
        <extend val="0"/>
        <outline val="0"/>
        <shadow val="0"/>
        <u val="none"/>
        <vertAlign val="baseline"/>
        <sz val="10"/>
        <color theme="1"/>
        <name val="Arial"/>
        <scheme val="minor"/>
      </font>
      <numFmt numFmtId="19" formatCode="m/d/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scheme val="minor"/>
      </font>
      <numFmt numFmtId="35" formatCode="_(* #,##0.00_);_(* \(#,##0.00\);_(*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CCCCFF"/>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Cumulative Project Data-Cleaned.xlsx]Pivot Tables!PivotTable1</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000000">
                    <a:lumMod val="65000"/>
                    <a:lumOff val="35000"/>
                  </a:srgbClr>
                </a:solidFill>
              </a:rPr>
              <a:t>SALES &amp; COGS BY PRODUCT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606569377039"/>
          <c:y val="0.2442143972886201"/>
          <c:w val="0.8508955885401901"/>
          <c:h val="0.64082574888610933"/>
        </c:manualLayout>
      </c:layout>
      <c:barChart>
        <c:barDir val="col"/>
        <c:grouping val="clustered"/>
        <c:varyColors val="0"/>
        <c:ser>
          <c:idx val="0"/>
          <c:order val="0"/>
          <c:tx>
            <c:strRef>
              <c:f>'Pivot Tables'!$C$2</c:f>
              <c:strCache>
                <c:ptCount val="1"/>
                <c:pt idx="0">
                  <c:v>Sum of  Sales</c:v>
                </c:pt>
              </c:strCache>
            </c:strRef>
          </c:tx>
          <c:spPr>
            <a:solidFill>
              <a:schemeClr val="accent1"/>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Tables'!$B$3:$B$9</c:f>
              <c:strCache>
                <c:ptCount val="6"/>
                <c:pt idx="0">
                  <c:v>Amarilla</c:v>
                </c:pt>
                <c:pt idx="1">
                  <c:v>Carretera</c:v>
                </c:pt>
                <c:pt idx="2">
                  <c:v>Montana</c:v>
                </c:pt>
                <c:pt idx="3">
                  <c:v>Paseo</c:v>
                </c:pt>
                <c:pt idx="4">
                  <c:v>Velo</c:v>
                </c:pt>
                <c:pt idx="5">
                  <c:v>VTT</c:v>
                </c:pt>
              </c:strCache>
            </c:strRef>
          </c:cat>
          <c:val>
            <c:numRef>
              <c:f>'Pivot Tables'!$C$3:$C$9</c:f>
              <c:numCache>
                <c:formatCode>[$$]#,##0.00</c:formatCode>
                <c:ptCount val="6"/>
                <c:pt idx="0">
                  <c:v>17747116.059999999</c:v>
                </c:pt>
                <c:pt idx="1">
                  <c:v>13815307.885000004</c:v>
                </c:pt>
                <c:pt idx="2">
                  <c:v>15555917.382152077</c:v>
                </c:pt>
                <c:pt idx="3">
                  <c:v>33040014.245552376</c:v>
                </c:pt>
                <c:pt idx="4">
                  <c:v>18250059.465</c:v>
                </c:pt>
                <c:pt idx="5">
                  <c:v>20670333.486002881</c:v>
                </c:pt>
              </c:numCache>
            </c:numRef>
          </c:val>
          <c:extLst>
            <c:ext xmlns:c16="http://schemas.microsoft.com/office/drawing/2014/chart" uri="{C3380CC4-5D6E-409C-BE32-E72D297353CC}">
              <c16:uniqueId val="{00000000-0870-41FF-A79E-22DE7C02C235}"/>
            </c:ext>
          </c:extLst>
        </c:ser>
        <c:ser>
          <c:idx val="1"/>
          <c:order val="1"/>
          <c:tx>
            <c:strRef>
              <c:f>'Pivot Tables'!$D$2</c:f>
              <c:strCache>
                <c:ptCount val="1"/>
                <c:pt idx="0">
                  <c:v>Sum of COGS</c:v>
                </c:pt>
              </c:strCache>
            </c:strRef>
          </c:tx>
          <c:spPr>
            <a:solidFill>
              <a:schemeClr val="accent4"/>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Tables'!$B$3:$B$9</c:f>
              <c:strCache>
                <c:ptCount val="6"/>
                <c:pt idx="0">
                  <c:v>Amarilla</c:v>
                </c:pt>
                <c:pt idx="1">
                  <c:v>Carretera</c:v>
                </c:pt>
                <c:pt idx="2">
                  <c:v>Montana</c:v>
                </c:pt>
                <c:pt idx="3">
                  <c:v>Paseo</c:v>
                </c:pt>
                <c:pt idx="4">
                  <c:v>Velo</c:v>
                </c:pt>
                <c:pt idx="5">
                  <c:v>VTT</c:v>
                </c:pt>
              </c:strCache>
            </c:strRef>
          </c:cat>
          <c:val>
            <c:numRef>
              <c:f>'Pivot Tables'!$D$3:$D$9</c:f>
              <c:numCache>
                <c:formatCode>[$$]#,##0.00</c:formatCode>
                <c:ptCount val="6"/>
                <c:pt idx="0">
                  <c:v>14933012</c:v>
                </c:pt>
                <c:pt idx="1">
                  <c:v>11988503</c:v>
                </c:pt>
                <c:pt idx="2">
                  <c:v>13417088.699570816</c:v>
                </c:pt>
                <c:pt idx="3">
                  <c:v>28213706</c:v>
                </c:pt>
                <c:pt idx="4">
                  <c:v>15944067</c:v>
                </c:pt>
                <c:pt idx="5">
                  <c:v>17477313</c:v>
                </c:pt>
              </c:numCache>
            </c:numRef>
          </c:val>
          <c:extLst>
            <c:ext xmlns:c16="http://schemas.microsoft.com/office/drawing/2014/chart" uri="{C3380CC4-5D6E-409C-BE32-E72D297353CC}">
              <c16:uniqueId val="{00000001-0870-41FF-A79E-22DE7C02C235}"/>
            </c:ext>
          </c:extLst>
        </c:ser>
        <c:dLbls>
          <c:dLblPos val="outEnd"/>
          <c:showLegendKey val="0"/>
          <c:showVal val="1"/>
          <c:showCatName val="0"/>
          <c:showSerName val="0"/>
          <c:showPercent val="0"/>
          <c:showBubbleSize val="0"/>
        </c:dLbls>
        <c:gapWidth val="219"/>
        <c:overlap val="-27"/>
        <c:axId val="1205709184"/>
        <c:axId val="1205719744"/>
      </c:barChart>
      <c:catAx>
        <c:axId val="12057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05719744"/>
        <c:crosses val="autoZero"/>
        <c:auto val="1"/>
        <c:lblAlgn val="ctr"/>
        <c:lblOffset val="100"/>
        <c:noMultiLvlLbl val="0"/>
      </c:catAx>
      <c:valAx>
        <c:axId val="1205719744"/>
        <c:scaling>
          <c:orientation val="minMax"/>
        </c:scaling>
        <c:delete val="0"/>
        <c:axPos val="l"/>
        <c:numFmt formatCode="&quot;$&quot;#,,&quot;M&quot;" sourceLinked="0"/>
        <c:majorTickMark val="none"/>
        <c:minorTickMark val="none"/>
        <c:tickLblPos val="nextTo"/>
        <c:spPr>
          <a:noFill/>
          <a:ln>
            <a:solidFill>
              <a:schemeClr val="bg2">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05709184"/>
        <c:crosses val="autoZero"/>
        <c:crossBetween val="between"/>
      </c:valAx>
      <c:spPr>
        <a:noFill/>
        <a:ln>
          <a:noFill/>
        </a:ln>
        <a:effectLst/>
      </c:spPr>
    </c:plotArea>
    <c:legend>
      <c:legendPos val="t"/>
      <c:layout>
        <c:manualLayout>
          <c:xMode val="edge"/>
          <c:yMode val="edge"/>
          <c:x val="0.26417402544649848"/>
          <c:y val="0.12013385626426072"/>
          <c:w val="0.47165194910700309"/>
          <c:h val="7.762403484083571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Cumulative Project Data-Cleaned.xlsx]Pivot Tables!PivotTable2</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baseline="0"/>
              <a:t>SALES &amp; COGS BY COUNTRY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6185685122692"/>
          <c:y val="0.22922875816993465"/>
          <c:w val="0.78738959713369161"/>
          <c:h val="0.6572606659461685"/>
        </c:manualLayout>
      </c:layout>
      <c:barChart>
        <c:barDir val="bar"/>
        <c:grouping val="clustered"/>
        <c:varyColors val="0"/>
        <c:ser>
          <c:idx val="0"/>
          <c:order val="0"/>
          <c:tx>
            <c:strRef>
              <c:f>'Pivot Tables'!$C$12</c:f>
              <c:strCache>
                <c:ptCount val="1"/>
                <c:pt idx="0">
                  <c:v>Sum of  Sales</c:v>
                </c:pt>
              </c:strCache>
            </c:strRef>
          </c:tx>
          <c:spPr>
            <a:solidFill>
              <a:schemeClr val="accent1"/>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Tables'!$B$13:$B$18</c:f>
              <c:strCache>
                <c:ptCount val="5"/>
                <c:pt idx="0">
                  <c:v>Canada</c:v>
                </c:pt>
                <c:pt idx="1">
                  <c:v>France</c:v>
                </c:pt>
                <c:pt idx="2">
                  <c:v>Germany</c:v>
                </c:pt>
                <c:pt idx="3">
                  <c:v>Mexico</c:v>
                </c:pt>
                <c:pt idx="4">
                  <c:v>USA</c:v>
                </c:pt>
              </c:strCache>
            </c:strRef>
          </c:cat>
          <c:val>
            <c:numRef>
              <c:f>'Pivot Tables'!$C$13:$C$18</c:f>
              <c:numCache>
                <c:formatCode>[$$]#,##0.00</c:formatCode>
                <c:ptCount val="5"/>
                <c:pt idx="0">
                  <c:v>24916525.180552371</c:v>
                </c:pt>
                <c:pt idx="1">
                  <c:v>24505157.78215209</c:v>
                </c:pt>
                <c:pt idx="2">
                  <c:v>23677883.286002893</c:v>
                </c:pt>
                <c:pt idx="3">
                  <c:v>20949352.109999999</c:v>
                </c:pt>
                <c:pt idx="4">
                  <c:v>25029830.165000014</c:v>
                </c:pt>
              </c:numCache>
            </c:numRef>
          </c:val>
          <c:extLst>
            <c:ext xmlns:c16="http://schemas.microsoft.com/office/drawing/2014/chart" uri="{C3380CC4-5D6E-409C-BE32-E72D297353CC}">
              <c16:uniqueId val="{00000000-96D5-4396-8D1A-E9F9E429864F}"/>
            </c:ext>
          </c:extLst>
        </c:ser>
        <c:ser>
          <c:idx val="1"/>
          <c:order val="1"/>
          <c:tx>
            <c:strRef>
              <c:f>'Pivot Tables'!$D$12</c:f>
              <c:strCache>
                <c:ptCount val="1"/>
                <c:pt idx="0">
                  <c:v>Sum of COGS</c:v>
                </c:pt>
              </c:strCache>
            </c:strRef>
          </c:tx>
          <c:spPr>
            <a:solidFill>
              <a:schemeClr val="accent4"/>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Tables'!$B$13:$B$18</c:f>
              <c:strCache>
                <c:ptCount val="5"/>
                <c:pt idx="0">
                  <c:v>Canada</c:v>
                </c:pt>
                <c:pt idx="1">
                  <c:v>France</c:v>
                </c:pt>
                <c:pt idx="2">
                  <c:v>Germany</c:v>
                </c:pt>
                <c:pt idx="3">
                  <c:v>Mexico</c:v>
                </c:pt>
                <c:pt idx="4">
                  <c:v>USA</c:v>
                </c:pt>
              </c:strCache>
            </c:strRef>
          </c:cat>
          <c:val>
            <c:numRef>
              <c:f>'Pivot Tables'!$D$13:$D$18</c:f>
              <c:numCache>
                <c:formatCode>[$$]#,##0.00</c:formatCode>
                <c:ptCount val="5"/>
                <c:pt idx="0">
                  <c:v>21358426</c:v>
                </c:pt>
                <c:pt idx="1">
                  <c:v>20697048.199570816</c:v>
                </c:pt>
                <c:pt idx="2">
                  <c:v>19842097</c:v>
                </c:pt>
                <c:pt idx="3">
                  <c:v>18041829</c:v>
                </c:pt>
                <c:pt idx="4">
                  <c:v>22034289.5</c:v>
                </c:pt>
              </c:numCache>
            </c:numRef>
          </c:val>
          <c:extLst>
            <c:ext xmlns:c16="http://schemas.microsoft.com/office/drawing/2014/chart" uri="{C3380CC4-5D6E-409C-BE32-E72D297353CC}">
              <c16:uniqueId val="{00000001-96D5-4396-8D1A-E9F9E429864F}"/>
            </c:ext>
          </c:extLst>
        </c:ser>
        <c:dLbls>
          <c:showLegendKey val="0"/>
          <c:showVal val="0"/>
          <c:showCatName val="0"/>
          <c:showSerName val="0"/>
          <c:showPercent val="0"/>
          <c:showBubbleSize val="0"/>
        </c:dLbls>
        <c:gapWidth val="219"/>
        <c:axId val="1279592096"/>
        <c:axId val="1279595936"/>
      </c:barChart>
      <c:catAx>
        <c:axId val="127959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79595936"/>
        <c:crosses val="autoZero"/>
        <c:auto val="1"/>
        <c:lblAlgn val="ctr"/>
        <c:lblOffset val="100"/>
        <c:noMultiLvlLbl val="0"/>
      </c:catAx>
      <c:valAx>
        <c:axId val="1279595936"/>
        <c:scaling>
          <c:orientation val="minMax"/>
        </c:scaling>
        <c:delete val="0"/>
        <c:axPos val="b"/>
        <c:numFmt formatCode="&quot;$&quot;#,,&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79592096"/>
        <c:crosses val="autoZero"/>
        <c:crossBetween val="between"/>
      </c:valAx>
      <c:spPr>
        <a:noFill/>
        <a:ln>
          <a:noFill/>
        </a:ln>
        <a:effectLst/>
      </c:spPr>
    </c:plotArea>
    <c:legend>
      <c:legendPos val="t"/>
      <c:layout>
        <c:manualLayout>
          <c:xMode val="edge"/>
          <c:yMode val="edge"/>
          <c:x val="0.27441413573303336"/>
          <c:y val="0.12062950954660082"/>
          <c:w val="0.46439924176144648"/>
          <c:h val="8.316857451642073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Cumulative Project Data-Cleaned.xlsx]Pivot Tables!PivotTable3</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000000">
                    <a:lumMod val="65000"/>
                    <a:lumOff val="35000"/>
                  </a:srgbClr>
                </a:solidFill>
              </a:rPr>
              <a:t>SALES &amp; COGS BY SEGMENT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66185476815394E-2"/>
          <c:y val="0.24170376340752681"/>
          <c:w val="0.87667825896762908"/>
          <c:h val="0.56066629466592266"/>
        </c:manualLayout>
      </c:layout>
      <c:barChart>
        <c:barDir val="col"/>
        <c:grouping val="clustered"/>
        <c:varyColors val="0"/>
        <c:ser>
          <c:idx val="0"/>
          <c:order val="0"/>
          <c:tx>
            <c:strRef>
              <c:f>'Pivot Tables'!$C$21</c:f>
              <c:strCache>
                <c:ptCount val="1"/>
                <c:pt idx="0">
                  <c:v>Sum of  Sales</c:v>
                </c:pt>
              </c:strCache>
            </c:strRef>
          </c:tx>
          <c:spPr>
            <a:solidFill>
              <a:schemeClr val="accent1"/>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Tables'!$B$22:$B$27</c:f>
              <c:strCache>
                <c:ptCount val="5"/>
                <c:pt idx="0">
                  <c:v>Channel Partners</c:v>
                </c:pt>
                <c:pt idx="1">
                  <c:v>Enterprise</c:v>
                </c:pt>
                <c:pt idx="2">
                  <c:v>Government</c:v>
                </c:pt>
                <c:pt idx="3">
                  <c:v>Midmarket</c:v>
                </c:pt>
                <c:pt idx="4">
                  <c:v>Small Business</c:v>
                </c:pt>
              </c:strCache>
            </c:strRef>
          </c:cat>
          <c:val>
            <c:numRef>
              <c:f>'Pivot Tables'!$C$22:$C$27</c:f>
              <c:numCache>
                <c:formatCode>[$$]#,##0.00</c:formatCode>
                <c:ptCount val="5"/>
                <c:pt idx="0">
                  <c:v>1965709.1421520796</c:v>
                </c:pt>
                <c:pt idx="1">
                  <c:v>19611694.375</c:v>
                </c:pt>
                <c:pt idx="2">
                  <c:v>52533130.965552405</c:v>
                </c:pt>
                <c:pt idx="3">
                  <c:v>2540295.541002878</c:v>
                </c:pt>
                <c:pt idx="4">
                  <c:v>42427918.5</c:v>
                </c:pt>
              </c:numCache>
            </c:numRef>
          </c:val>
          <c:extLst>
            <c:ext xmlns:c16="http://schemas.microsoft.com/office/drawing/2014/chart" uri="{C3380CC4-5D6E-409C-BE32-E72D297353CC}">
              <c16:uniqueId val="{00000000-F0D4-4E87-867F-C03A414E62B2}"/>
            </c:ext>
          </c:extLst>
        </c:ser>
        <c:ser>
          <c:idx val="1"/>
          <c:order val="1"/>
          <c:tx>
            <c:strRef>
              <c:f>'Pivot Tables'!$D$21</c:f>
              <c:strCache>
                <c:ptCount val="1"/>
                <c:pt idx="0">
                  <c:v>Sum of COGS</c:v>
                </c:pt>
              </c:strCache>
            </c:strRef>
          </c:tx>
          <c:spPr>
            <a:solidFill>
              <a:srgbClr val="00B050"/>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Tables'!$B$22:$B$27</c:f>
              <c:strCache>
                <c:ptCount val="5"/>
                <c:pt idx="0">
                  <c:v>Channel Partners</c:v>
                </c:pt>
                <c:pt idx="1">
                  <c:v>Enterprise</c:v>
                </c:pt>
                <c:pt idx="2">
                  <c:v>Government</c:v>
                </c:pt>
                <c:pt idx="3">
                  <c:v>Midmarket</c:v>
                </c:pt>
                <c:pt idx="4">
                  <c:v>Small Business</c:v>
                </c:pt>
              </c:strCache>
            </c:strRef>
          </c:cat>
          <c:val>
            <c:numRef>
              <c:f>'Pivot Tables'!$D$22:$D$27</c:f>
              <c:numCache>
                <c:formatCode>[$$]#,##0.00</c:formatCode>
                <c:ptCount val="5"/>
                <c:pt idx="0">
                  <c:v>624832.19957081543</c:v>
                </c:pt>
                <c:pt idx="1">
                  <c:v>20226240</c:v>
                </c:pt>
                <c:pt idx="2">
                  <c:v>41116087.5</c:v>
                </c:pt>
                <c:pt idx="3">
                  <c:v>1721780</c:v>
                </c:pt>
                <c:pt idx="4">
                  <c:v>38284750</c:v>
                </c:pt>
              </c:numCache>
            </c:numRef>
          </c:val>
          <c:extLst>
            <c:ext xmlns:c16="http://schemas.microsoft.com/office/drawing/2014/chart" uri="{C3380CC4-5D6E-409C-BE32-E72D297353CC}">
              <c16:uniqueId val="{00000001-F0D4-4E87-867F-C03A414E62B2}"/>
            </c:ext>
          </c:extLst>
        </c:ser>
        <c:dLbls>
          <c:dLblPos val="outEnd"/>
          <c:showLegendKey val="0"/>
          <c:showVal val="1"/>
          <c:showCatName val="0"/>
          <c:showSerName val="0"/>
          <c:showPercent val="0"/>
          <c:showBubbleSize val="0"/>
        </c:dLbls>
        <c:gapWidth val="219"/>
        <c:overlap val="-27"/>
        <c:axId val="868743183"/>
        <c:axId val="868739823"/>
      </c:barChart>
      <c:catAx>
        <c:axId val="8687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68739823"/>
        <c:crosses val="autoZero"/>
        <c:auto val="1"/>
        <c:lblAlgn val="ctr"/>
        <c:lblOffset val="100"/>
        <c:noMultiLvlLbl val="0"/>
      </c:catAx>
      <c:valAx>
        <c:axId val="868739823"/>
        <c:scaling>
          <c:orientation val="minMax"/>
          <c:max val="55000000"/>
          <c:min val="0"/>
        </c:scaling>
        <c:delete val="0"/>
        <c:axPos val="l"/>
        <c:numFmt formatCode="&quot;$&quot;#,,&quot;M&quot;" sourceLinked="0"/>
        <c:majorTickMark val="none"/>
        <c:minorTickMark val="none"/>
        <c:tickLblPos val="nextTo"/>
        <c:spPr>
          <a:noFill/>
          <a:ln>
            <a:solidFill>
              <a:schemeClr val="bg2">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68743183"/>
        <c:crosses val="autoZero"/>
        <c:crossBetween val="between"/>
      </c:valAx>
      <c:spPr>
        <a:noFill/>
        <a:ln>
          <a:noFill/>
        </a:ln>
        <a:effectLst/>
      </c:spPr>
    </c:plotArea>
    <c:legend>
      <c:legendPos val="t"/>
      <c:layout>
        <c:manualLayout>
          <c:xMode val="edge"/>
          <c:yMode val="edge"/>
          <c:x val="0.27337346964317438"/>
          <c:y val="0.11386694773389547"/>
          <c:w val="0.49275217371243923"/>
          <c:h val="8.247550306211723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Cumulative Project Data-Cleaned.xlsx]Pivot Tables!PivotTable4</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baseline="0"/>
              <a:t>MONTHLY SALES &amp; COGS TREND</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043446472998491E-2"/>
              <c:y val="7.4916446255028926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192E-2"/>
              <c:y val="5.9472430811013395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2017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2017E-2"/>
              <c:y val="4.917642051500310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7815683861160739E-2"/>
              <c:y val="6.4620435959018729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2017E-2"/>
              <c:y val="4.917642051500319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2017E-2"/>
              <c:y val="4.917642051500319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1823699893224819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487694549203395E-2"/>
              <c:y val="5.4324425663008435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1823699893224781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1379451817019866E-2"/>
              <c:y val="5.432442566300833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043446472998685E-2"/>
              <c:y val="4.4028415366998044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1823699893224781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487694549203395E-2"/>
              <c:y val="5.4324425663008435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1823699893224819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2017E-2"/>
              <c:y val="4.917642051500319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2017E-2"/>
              <c:y val="4.917642051500319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7815683861160739E-2"/>
              <c:y val="6.4620435959018729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2017E-2"/>
              <c:y val="4.917642051500310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2017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15168920518192E-2"/>
              <c:y val="5.9472430811013395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043446472998491E-2"/>
              <c:y val="7.4916446255028926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1379451817019866E-2"/>
              <c:y val="5.432442566300833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043446472998685E-2"/>
              <c:y val="4.4028415366998044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00B050"/>
            </a:solidFill>
            <a:round/>
          </a:ln>
          <a:effectLst/>
        </c:spPr>
        <c:marker>
          <c:symbol val="circle"/>
          <c:size val="5"/>
          <c:spPr>
            <a:solidFill>
              <a:srgbClr val="00B050"/>
            </a:solidFill>
            <a:ln w="9525">
              <a:solidFill>
                <a:srgbClr val="00B050"/>
              </a:solidFill>
            </a:ln>
            <a:effectLst/>
          </c:spPr>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1823699893224781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0487694549203395E-2"/>
              <c:y val="5.4324425663008435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1823699893224819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2017E-2"/>
              <c:y val="4.917642051500319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2017E-2"/>
              <c:y val="4.917642051500319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7815683861160739E-2"/>
              <c:y val="6.4620435959018729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2017E-2"/>
              <c:y val="4.917642051500310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2017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192E-2"/>
              <c:y val="5.9472430811013395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0043446472998491E-2"/>
              <c:y val="7.4916446255028926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1379451817019866E-2"/>
              <c:y val="5.432442566300833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0043446472998685E-2"/>
              <c:y val="4.4028415366998044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17003034941274E-2"/>
          <c:y val="0.16584150002832379"/>
          <c:w val="0.94068693818082361"/>
          <c:h val="0.68776374176249555"/>
        </c:manualLayout>
      </c:layout>
      <c:lineChart>
        <c:grouping val="standard"/>
        <c:varyColors val="0"/>
        <c:ser>
          <c:idx val="0"/>
          <c:order val="0"/>
          <c:tx>
            <c:strRef>
              <c:f>'Pivot Tables'!$H$3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Tables'!$H$4:$H$16</c:f>
              <c:numCache>
                <c:formatCode>[$$]#,##0.00</c:formatCode>
                <c:ptCount val="12"/>
                <c:pt idx="0">
                  <c:v>6607761.6800000006</c:v>
                </c:pt>
                <c:pt idx="1">
                  <c:v>7326401.6855523679</c:v>
                </c:pt>
                <c:pt idx="2">
                  <c:v>5586859.8699999992</c:v>
                </c:pt>
                <c:pt idx="3">
                  <c:v>6964775.0700000003</c:v>
                </c:pt>
                <c:pt idx="4">
                  <c:v>6210211.0600000005</c:v>
                </c:pt>
                <c:pt idx="5">
                  <c:v>9842421.7881549541</c:v>
                </c:pt>
                <c:pt idx="6">
                  <c:v>8102920.1800000016</c:v>
                </c:pt>
                <c:pt idx="7">
                  <c:v>5864622.4199999999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5B71-4447-86D7-D757F40C804E}"/>
            </c:ext>
          </c:extLst>
        </c:ser>
        <c:ser>
          <c:idx val="1"/>
          <c:order val="1"/>
          <c:tx>
            <c:strRef>
              <c:f>'Pivot Tables'!$I$3</c:f>
              <c:strCache>
                <c:ptCount val="1"/>
                <c:pt idx="0">
                  <c:v>Sum of COGS</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Pt>
            <c:idx val="0"/>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1-5B71-4447-86D7-D757F40C804E}"/>
              </c:ext>
            </c:extLst>
          </c:dPt>
          <c:dPt>
            <c:idx val="1"/>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2-5B71-4447-86D7-D757F40C804E}"/>
              </c:ext>
            </c:extLst>
          </c:dPt>
          <c:dPt>
            <c:idx val="2"/>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3-5B71-4447-86D7-D757F40C804E}"/>
              </c:ext>
            </c:extLst>
          </c:dPt>
          <c:dPt>
            <c:idx val="3"/>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4-5B71-4447-86D7-D757F40C804E}"/>
              </c:ext>
            </c:extLst>
          </c:dPt>
          <c:dPt>
            <c:idx val="4"/>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5-5B71-4447-86D7-D757F40C804E}"/>
              </c:ext>
            </c:extLst>
          </c:dPt>
          <c:dPt>
            <c:idx val="5"/>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6-5B71-4447-86D7-D757F40C804E}"/>
              </c:ext>
            </c:extLst>
          </c:dPt>
          <c:dPt>
            <c:idx val="6"/>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7-5B71-4447-86D7-D757F40C804E}"/>
              </c:ext>
            </c:extLst>
          </c:dPt>
          <c:dPt>
            <c:idx val="7"/>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8-5B71-4447-86D7-D757F40C804E}"/>
              </c:ext>
            </c:extLst>
          </c:dPt>
          <c:dPt>
            <c:idx val="8"/>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9-5B71-4447-86D7-D757F40C804E}"/>
              </c:ext>
            </c:extLst>
          </c:dPt>
          <c:dPt>
            <c:idx val="9"/>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A-5B71-4447-86D7-D757F40C804E}"/>
              </c:ext>
            </c:extLst>
          </c:dPt>
          <c:dPt>
            <c:idx val="10"/>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B-5B71-4447-86D7-D757F40C804E}"/>
              </c:ext>
            </c:extLst>
          </c:dPt>
          <c:dPt>
            <c:idx val="11"/>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C-5B71-4447-86D7-D757F40C804E}"/>
              </c:ext>
            </c:extLst>
          </c:dPt>
          <c:dLbls>
            <c:dLbl>
              <c:idx val="0"/>
              <c:layout>
                <c:manualLayout>
                  <c:x val="-2.1823699893224781E-2"/>
                  <c:y val="5.4324425663008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71-4447-86D7-D757F40C804E}"/>
                </c:ext>
              </c:extLst>
            </c:dLbl>
            <c:dLbl>
              <c:idx val="1"/>
              <c:layout>
                <c:manualLayout>
                  <c:x val="-2.0487694549203395E-2"/>
                  <c:y val="5.43244256630084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71-4447-86D7-D757F40C804E}"/>
                </c:ext>
              </c:extLst>
            </c:dLbl>
            <c:dLbl>
              <c:idx val="2"/>
              <c:layout>
                <c:manualLayout>
                  <c:x val="-2.1823699893224819E-2"/>
                  <c:y val="5.4324425663008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71-4447-86D7-D757F40C804E}"/>
                </c:ext>
              </c:extLst>
            </c:dLbl>
            <c:dLbl>
              <c:idx val="3"/>
              <c:layout>
                <c:manualLayout>
                  <c:x val="-1.9151689205182017E-2"/>
                  <c:y val="4.9176420515003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71-4447-86D7-D757F40C804E}"/>
                </c:ext>
              </c:extLst>
            </c:dLbl>
            <c:dLbl>
              <c:idx val="4"/>
              <c:layout>
                <c:manualLayout>
                  <c:x val="-1.9151689205182017E-2"/>
                  <c:y val="4.9176420515003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71-4447-86D7-D757F40C804E}"/>
                </c:ext>
              </c:extLst>
            </c:dLbl>
            <c:dLbl>
              <c:idx val="5"/>
              <c:layout>
                <c:manualLayout>
                  <c:x val="-1.7815683861160739E-2"/>
                  <c:y val="6.46204359590187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71-4447-86D7-D757F40C804E}"/>
                </c:ext>
              </c:extLst>
            </c:dLbl>
            <c:dLbl>
              <c:idx val="6"/>
              <c:layout>
                <c:manualLayout>
                  <c:x val="-1.9151689205182017E-2"/>
                  <c:y val="4.9176420515003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71-4447-86D7-D757F40C804E}"/>
                </c:ext>
              </c:extLst>
            </c:dLbl>
            <c:dLbl>
              <c:idx val="7"/>
              <c:layout>
                <c:manualLayout>
                  <c:x val="-1.9151689205182017E-2"/>
                  <c:y val="5.4324425663008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B71-4447-86D7-D757F40C804E}"/>
                </c:ext>
              </c:extLst>
            </c:dLbl>
            <c:dLbl>
              <c:idx val="8"/>
              <c:layout>
                <c:manualLayout>
                  <c:x val="-1.915168920518192E-2"/>
                  <c:y val="5.94724308110133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71-4447-86D7-D757F40C804E}"/>
                </c:ext>
              </c:extLst>
            </c:dLbl>
            <c:dLbl>
              <c:idx val="9"/>
              <c:layout>
                <c:manualLayout>
                  <c:x val="-2.0043446472998491E-2"/>
                  <c:y val="7.4916446255028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B71-4447-86D7-D757F40C804E}"/>
                </c:ext>
              </c:extLst>
            </c:dLbl>
            <c:dLbl>
              <c:idx val="10"/>
              <c:layout>
                <c:manualLayout>
                  <c:x val="-2.1379451817019866E-2"/>
                  <c:y val="5.43244256630083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B71-4447-86D7-D757F40C804E}"/>
                </c:ext>
              </c:extLst>
            </c:dLbl>
            <c:dLbl>
              <c:idx val="11"/>
              <c:layout>
                <c:manualLayout>
                  <c:x val="-2.0043446472998685E-2"/>
                  <c:y val="4.4028415366998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B71-4447-86D7-D757F40C804E}"/>
                </c:ext>
              </c:extLst>
            </c:dLbl>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Tables'!$I$4:$I$16</c:f>
              <c:numCache>
                <c:formatCode>[$$]#,##0.00</c:formatCode>
                <c:ptCount val="12"/>
                <c:pt idx="0">
                  <c:v>5793733</c:v>
                </c:pt>
                <c:pt idx="1">
                  <c:v>6148984</c:v>
                </c:pt>
                <c:pt idx="2">
                  <c:v>4916993</c:v>
                </c:pt>
                <c:pt idx="3">
                  <c:v>6034790.5</c:v>
                </c:pt>
                <c:pt idx="4">
                  <c:v>5381571</c:v>
                </c:pt>
                <c:pt idx="5">
                  <c:v>8186181.699570816</c:v>
                </c:pt>
                <c:pt idx="6">
                  <c:v>7179054.5</c:v>
                </c:pt>
                <c:pt idx="7">
                  <c:v>5073556</c:v>
                </c:pt>
                <c:pt idx="8">
                  <c:v>9095962</c:v>
                </c:pt>
                <c:pt idx="9">
                  <c:v>18231650</c:v>
                </c:pt>
                <c:pt idx="10">
                  <c:v>11281315</c:v>
                </c:pt>
                <c:pt idx="11">
                  <c:v>14649899</c:v>
                </c:pt>
              </c:numCache>
            </c:numRef>
          </c:val>
          <c:smooth val="0"/>
          <c:extLst>
            <c:ext xmlns:c16="http://schemas.microsoft.com/office/drawing/2014/chart" uri="{C3380CC4-5D6E-409C-BE32-E72D297353CC}">
              <c16:uniqueId val="{0000000D-5B71-4447-86D7-D757F40C804E}"/>
            </c:ext>
          </c:extLst>
        </c:ser>
        <c:dLbls>
          <c:dLblPos val="t"/>
          <c:showLegendKey val="0"/>
          <c:showVal val="1"/>
          <c:showCatName val="0"/>
          <c:showSerName val="0"/>
          <c:showPercent val="0"/>
          <c:showBubbleSize val="0"/>
        </c:dLbls>
        <c:marker val="1"/>
        <c:smooth val="0"/>
        <c:axId val="911404239"/>
        <c:axId val="911420559"/>
      </c:lineChart>
      <c:catAx>
        <c:axId val="9114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11420559"/>
        <c:crosses val="autoZero"/>
        <c:auto val="1"/>
        <c:lblAlgn val="ctr"/>
        <c:lblOffset val="100"/>
        <c:noMultiLvlLbl val="0"/>
      </c:catAx>
      <c:valAx>
        <c:axId val="911420559"/>
        <c:scaling>
          <c:orientation val="minMax"/>
        </c:scaling>
        <c:delete val="0"/>
        <c:axPos val="l"/>
        <c:numFmt formatCode="&quot;$&quot;#,,&quot;M&quot;" sourceLinked="0"/>
        <c:majorTickMark val="none"/>
        <c:minorTickMark val="none"/>
        <c:tickLblPos val="nextTo"/>
        <c:spPr>
          <a:noFill/>
          <a:ln>
            <a:solidFill>
              <a:schemeClr val="bg2">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11404239"/>
        <c:crosses val="autoZero"/>
        <c:crossBetween val="between"/>
      </c:valAx>
      <c:spPr>
        <a:noFill/>
        <a:ln>
          <a:noFill/>
        </a:ln>
        <a:effectLst/>
      </c:spPr>
    </c:plotArea>
    <c:legend>
      <c:legendPos val="t"/>
      <c:layout>
        <c:manualLayout>
          <c:xMode val="edge"/>
          <c:yMode val="edge"/>
          <c:x val="0.41155955256216414"/>
          <c:y val="0.18140077598995777"/>
          <c:w val="0.18131425591751155"/>
          <c:h val="0.1526867891513560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Cumulative Project Data-Cleaned.xlsx]Pivot Tables!PivotTable1</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000000">
                    <a:lumMod val="65000"/>
                    <a:lumOff val="35000"/>
                  </a:srgbClr>
                </a:solidFill>
              </a:rPr>
              <a:t>SALES &amp; COGS BY PRODUCT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606569377039"/>
          <c:y val="0.27035818395041045"/>
          <c:w val="0.8508955885401901"/>
          <c:h val="0.61468207963366284"/>
        </c:manualLayout>
      </c:layout>
      <c:barChart>
        <c:barDir val="col"/>
        <c:grouping val="clustered"/>
        <c:varyColors val="0"/>
        <c:ser>
          <c:idx val="0"/>
          <c:order val="0"/>
          <c:tx>
            <c:strRef>
              <c:f>'Pivot Tables'!$C$2</c:f>
              <c:strCache>
                <c:ptCount val="1"/>
                <c:pt idx="0">
                  <c:v>Sum of  Sales</c:v>
                </c:pt>
              </c:strCache>
            </c:strRef>
          </c:tx>
          <c:spPr>
            <a:solidFill>
              <a:schemeClr val="accent1"/>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Tables'!$B$3:$B$9</c:f>
              <c:strCache>
                <c:ptCount val="6"/>
                <c:pt idx="0">
                  <c:v>Amarilla</c:v>
                </c:pt>
                <c:pt idx="1">
                  <c:v>Carretera</c:v>
                </c:pt>
                <c:pt idx="2">
                  <c:v>Montana</c:v>
                </c:pt>
                <c:pt idx="3">
                  <c:v>Paseo</c:v>
                </c:pt>
                <c:pt idx="4">
                  <c:v>Velo</c:v>
                </c:pt>
                <c:pt idx="5">
                  <c:v>VTT</c:v>
                </c:pt>
              </c:strCache>
            </c:strRef>
          </c:cat>
          <c:val>
            <c:numRef>
              <c:f>'Pivot Tables'!$C$3:$C$9</c:f>
              <c:numCache>
                <c:formatCode>[$$]#,##0.00</c:formatCode>
                <c:ptCount val="6"/>
                <c:pt idx="0">
                  <c:v>17747116.059999999</c:v>
                </c:pt>
                <c:pt idx="1">
                  <c:v>13815307.885000004</c:v>
                </c:pt>
                <c:pt idx="2">
                  <c:v>15555917.382152077</c:v>
                </c:pt>
                <c:pt idx="3">
                  <c:v>33040014.245552376</c:v>
                </c:pt>
                <c:pt idx="4">
                  <c:v>18250059.465</c:v>
                </c:pt>
                <c:pt idx="5">
                  <c:v>20670333.486002881</c:v>
                </c:pt>
              </c:numCache>
            </c:numRef>
          </c:val>
          <c:extLst>
            <c:ext xmlns:c16="http://schemas.microsoft.com/office/drawing/2014/chart" uri="{C3380CC4-5D6E-409C-BE32-E72D297353CC}">
              <c16:uniqueId val="{00000000-1BCC-4509-B8EA-638BC0E06431}"/>
            </c:ext>
          </c:extLst>
        </c:ser>
        <c:ser>
          <c:idx val="1"/>
          <c:order val="1"/>
          <c:tx>
            <c:strRef>
              <c:f>'Pivot Tables'!$D$2</c:f>
              <c:strCache>
                <c:ptCount val="1"/>
                <c:pt idx="0">
                  <c:v>Sum of COGS</c:v>
                </c:pt>
              </c:strCache>
            </c:strRef>
          </c:tx>
          <c:spPr>
            <a:solidFill>
              <a:schemeClr val="accent4"/>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Tables'!$B$3:$B$9</c:f>
              <c:strCache>
                <c:ptCount val="6"/>
                <c:pt idx="0">
                  <c:v>Amarilla</c:v>
                </c:pt>
                <c:pt idx="1">
                  <c:v>Carretera</c:v>
                </c:pt>
                <c:pt idx="2">
                  <c:v>Montana</c:v>
                </c:pt>
                <c:pt idx="3">
                  <c:v>Paseo</c:v>
                </c:pt>
                <c:pt idx="4">
                  <c:v>Velo</c:v>
                </c:pt>
                <c:pt idx="5">
                  <c:v>VTT</c:v>
                </c:pt>
              </c:strCache>
            </c:strRef>
          </c:cat>
          <c:val>
            <c:numRef>
              <c:f>'Pivot Tables'!$D$3:$D$9</c:f>
              <c:numCache>
                <c:formatCode>[$$]#,##0.00</c:formatCode>
                <c:ptCount val="6"/>
                <c:pt idx="0">
                  <c:v>14933012</c:v>
                </c:pt>
                <c:pt idx="1">
                  <c:v>11988503</c:v>
                </c:pt>
                <c:pt idx="2">
                  <c:v>13417088.699570816</c:v>
                </c:pt>
                <c:pt idx="3">
                  <c:v>28213706</c:v>
                </c:pt>
                <c:pt idx="4">
                  <c:v>15944067</c:v>
                </c:pt>
                <c:pt idx="5">
                  <c:v>17477313</c:v>
                </c:pt>
              </c:numCache>
            </c:numRef>
          </c:val>
          <c:extLst>
            <c:ext xmlns:c16="http://schemas.microsoft.com/office/drawing/2014/chart" uri="{C3380CC4-5D6E-409C-BE32-E72D297353CC}">
              <c16:uniqueId val="{00000001-1BCC-4509-B8EA-638BC0E06431}"/>
            </c:ext>
          </c:extLst>
        </c:ser>
        <c:dLbls>
          <c:dLblPos val="outEnd"/>
          <c:showLegendKey val="0"/>
          <c:showVal val="1"/>
          <c:showCatName val="0"/>
          <c:showSerName val="0"/>
          <c:showPercent val="0"/>
          <c:showBubbleSize val="0"/>
        </c:dLbls>
        <c:gapWidth val="219"/>
        <c:overlap val="-27"/>
        <c:axId val="1205709184"/>
        <c:axId val="1205719744"/>
      </c:barChart>
      <c:catAx>
        <c:axId val="12057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05719744"/>
        <c:crosses val="autoZero"/>
        <c:auto val="1"/>
        <c:lblAlgn val="ctr"/>
        <c:lblOffset val="100"/>
        <c:noMultiLvlLbl val="0"/>
      </c:catAx>
      <c:valAx>
        <c:axId val="1205719744"/>
        <c:scaling>
          <c:orientation val="minMax"/>
        </c:scaling>
        <c:delete val="0"/>
        <c:axPos val="l"/>
        <c:numFmt formatCode="&quot;$&quot;#,,&quot;M&quot;" sourceLinked="0"/>
        <c:majorTickMark val="none"/>
        <c:minorTickMark val="none"/>
        <c:tickLblPos val="nextTo"/>
        <c:spPr>
          <a:noFill/>
          <a:ln>
            <a:solidFill>
              <a:schemeClr val="bg2">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05709184"/>
        <c:crosses val="autoZero"/>
        <c:crossBetween val="between"/>
      </c:valAx>
      <c:spPr>
        <a:noFill/>
        <a:ln>
          <a:noFill/>
        </a:ln>
        <a:effectLst/>
      </c:spPr>
    </c:plotArea>
    <c:legend>
      <c:legendPos val="t"/>
      <c:layout>
        <c:manualLayout>
          <c:xMode val="edge"/>
          <c:yMode val="edge"/>
          <c:x val="0.26417402544649848"/>
          <c:y val="0.13506405316356732"/>
          <c:w val="0.47165194910700309"/>
          <c:h val="8.423030099960909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Cumulative Project Data-Cleaned.xlsx]Pivot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 &amp; </a:t>
            </a:r>
            <a:r>
              <a:rPr lang="en-US" sz="1200" b="1" baseline="0"/>
              <a:t>COGS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6185685122692"/>
          <c:y val="0.25014358499305234"/>
          <c:w val="0.78738959713369161"/>
          <c:h val="0.63634575089878476"/>
        </c:manualLayout>
      </c:layout>
      <c:barChart>
        <c:barDir val="bar"/>
        <c:grouping val="clustered"/>
        <c:varyColors val="0"/>
        <c:ser>
          <c:idx val="0"/>
          <c:order val="0"/>
          <c:tx>
            <c:strRef>
              <c:f>'Pivot Tables'!$C$12</c:f>
              <c:strCache>
                <c:ptCount val="1"/>
                <c:pt idx="0">
                  <c:v>Sum of  Sales</c:v>
                </c:pt>
              </c:strCache>
            </c:strRef>
          </c:tx>
          <c:spPr>
            <a:solidFill>
              <a:schemeClr val="accent1"/>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Tables'!$B$13:$B$18</c:f>
              <c:strCache>
                <c:ptCount val="5"/>
                <c:pt idx="0">
                  <c:v>Canada</c:v>
                </c:pt>
                <c:pt idx="1">
                  <c:v>France</c:v>
                </c:pt>
                <c:pt idx="2">
                  <c:v>Germany</c:v>
                </c:pt>
                <c:pt idx="3">
                  <c:v>Mexico</c:v>
                </c:pt>
                <c:pt idx="4">
                  <c:v>USA</c:v>
                </c:pt>
              </c:strCache>
            </c:strRef>
          </c:cat>
          <c:val>
            <c:numRef>
              <c:f>'Pivot Tables'!$C$13:$C$18</c:f>
              <c:numCache>
                <c:formatCode>[$$]#,##0.00</c:formatCode>
                <c:ptCount val="5"/>
                <c:pt idx="0">
                  <c:v>24916525.180552371</c:v>
                </c:pt>
                <c:pt idx="1">
                  <c:v>24505157.78215209</c:v>
                </c:pt>
                <c:pt idx="2">
                  <c:v>23677883.286002893</c:v>
                </c:pt>
                <c:pt idx="3">
                  <c:v>20949352.109999999</c:v>
                </c:pt>
                <c:pt idx="4">
                  <c:v>25029830.165000014</c:v>
                </c:pt>
              </c:numCache>
            </c:numRef>
          </c:val>
          <c:extLst>
            <c:ext xmlns:c16="http://schemas.microsoft.com/office/drawing/2014/chart" uri="{C3380CC4-5D6E-409C-BE32-E72D297353CC}">
              <c16:uniqueId val="{00000000-3B0C-4DD0-8910-5C6449AC675F}"/>
            </c:ext>
          </c:extLst>
        </c:ser>
        <c:ser>
          <c:idx val="1"/>
          <c:order val="1"/>
          <c:tx>
            <c:strRef>
              <c:f>'Pivot Tables'!$D$12</c:f>
              <c:strCache>
                <c:ptCount val="1"/>
                <c:pt idx="0">
                  <c:v>Sum of COGS</c:v>
                </c:pt>
              </c:strCache>
            </c:strRef>
          </c:tx>
          <c:spPr>
            <a:solidFill>
              <a:schemeClr val="accent4"/>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Tables'!$B$13:$B$18</c:f>
              <c:strCache>
                <c:ptCount val="5"/>
                <c:pt idx="0">
                  <c:v>Canada</c:v>
                </c:pt>
                <c:pt idx="1">
                  <c:v>France</c:v>
                </c:pt>
                <c:pt idx="2">
                  <c:v>Germany</c:v>
                </c:pt>
                <c:pt idx="3">
                  <c:v>Mexico</c:v>
                </c:pt>
                <c:pt idx="4">
                  <c:v>USA</c:v>
                </c:pt>
              </c:strCache>
            </c:strRef>
          </c:cat>
          <c:val>
            <c:numRef>
              <c:f>'Pivot Tables'!$D$13:$D$18</c:f>
              <c:numCache>
                <c:formatCode>[$$]#,##0.00</c:formatCode>
                <c:ptCount val="5"/>
                <c:pt idx="0">
                  <c:v>21358426</c:v>
                </c:pt>
                <c:pt idx="1">
                  <c:v>20697048.199570816</c:v>
                </c:pt>
                <c:pt idx="2">
                  <c:v>19842097</c:v>
                </c:pt>
                <c:pt idx="3">
                  <c:v>18041829</c:v>
                </c:pt>
                <c:pt idx="4">
                  <c:v>22034289.5</c:v>
                </c:pt>
              </c:numCache>
            </c:numRef>
          </c:val>
          <c:extLst>
            <c:ext xmlns:c16="http://schemas.microsoft.com/office/drawing/2014/chart" uri="{C3380CC4-5D6E-409C-BE32-E72D297353CC}">
              <c16:uniqueId val="{00000001-3B0C-4DD0-8910-5C6449AC675F}"/>
            </c:ext>
          </c:extLst>
        </c:ser>
        <c:dLbls>
          <c:showLegendKey val="0"/>
          <c:showVal val="0"/>
          <c:showCatName val="0"/>
          <c:showSerName val="0"/>
          <c:showPercent val="0"/>
          <c:showBubbleSize val="0"/>
        </c:dLbls>
        <c:gapWidth val="219"/>
        <c:axId val="1279592096"/>
        <c:axId val="1279595936"/>
      </c:barChart>
      <c:catAx>
        <c:axId val="127959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79595936"/>
        <c:crosses val="autoZero"/>
        <c:auto val="1"/>
        <c:lblAlgn val="ctr"/>
        <c:lblOffset val="100"/>
        <c:noMultiLvlLbl val="0"/>
      </c:catAx>
      <c:valAx>
        <c:axId val="1279595936"/>
        <c:scaling>
          <c:orientation val="minMax"/>
        </c:scaling>
        <c:delete val="0"/>
        <c:axPos val="b"/>
        <c:numFmt formatCode="&quot;$&quot;#,,&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79592096"/>
        <c:crosses val="autoZero"/>
        <c:crossBetween val="between"/>
      </c:valAx>
      <c:spPr>
        <a:noFill/>
        <a:ln>
          <a:noFill/>
        </a:ln>
        <a:effectLst/>
      </c:spPr>
    </c:plotArea>
    <c:legend>
      <c:legendPos val="t"/>
      <c:layout>
        <c:manualLayout>
          <c:xMode val="edge"/>
          <c:yMode val="edge"/>
          <c:x val="0.26780037911927673"/>
          <c:y val="0.1277593242021218"/>
          <c:w val="0.46439924176144648"/>
          <c:h val="8.3168574516420735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Cumulative Project Data-Cleaned.xlsx]Pivot Tables!PivotTable3</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000000">
                    <a:lumMod val="65000"/>
                    <a:lumOff val="35000"/>
                  </a:srgbClr>
                </a:solidFill>
              </a:rPr>
              <a:t>SALES &amp; COGS BY SEGMENT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66185476815394E-2"/>
          <c:y val="0.24004943132108486"/>
          <c:w val="0.87667825896762908"/>
          <c:h val="0.66614698162729657"/>
        </c:manualLayout>
      </c:layout>
      <c:barChart>
        <c:barDir val="col"/>
        <c:grouping val="clustered"/>
        <c:varyColors val="0"/>
        <c:ser>
          <c:idx val="0"/>
          <c:order val="0"/>
          <c:tx>
            <c:strRef>
              <c:f>'Pivot Tables'!$C$21</c:f>
              <c:strCache>
                <c:ptCount val="1"/>
                <c:pt idx="0">
                  <c:v>Sum of  Sales</c:v>
                </c:pt>
              </c:strCache>
            </c:strRef>
          </c:tx>
          <c:spPr>
            <a:solidFill>
              <a:schemeClr val="accent1"/>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Tables'!$B$22:$B$27</c:f>
              <c:strCache>
                <c:ptCount val="5"/>
                <c:pt idx="0">
                  <c:v>Channel Partners</c:v>
                </c:pt>
                <c:pt idx="1">
                  <c:v>Enterprise</c:v>
                </c:pt>
                <c:pt idx="2">
                  <c:v>Government</c:v>
                </c:pt>
                <c:pt idx="3">
                  <c:v>Midmarket</c:v>
                </c:pt>
                <c:pt idx="4">
                  <c:v>Small Business</c:v>
                </c:pt>
              </c:strCache>
            </c:strRef>
          </c:cat>
          <c:val>
            <c:numRef>
              <c:f>'Pivot Tables'!$C$22:$C$27</c:f>
              <c:numCache>
                <c:formatCode>[$$]#,##0.00</c:formatCode>
                <c:ptCount val="5"/>
                <c:pt idx="0">
                  <c:v>1965709.1421520796</c:v>
                </c:pt>
                <c:pt idx="1">
                  <c:v>19611694.375</c:v>
                </c:pt>
                <c:pt idx="2">
                  <c:v>52533130.965552405</c:v>
                </c:pt>
                <c:pt idx="3">
                  <c:v>2540295.541002878</c:v>
                </c:pt>
                <c:pt idx="4">
                  <c:v>42427918.5</c:v>
                </c:pt>
              </c:numCache>
            </c:numRef>
          </c:val>
          <c:extLst>
            <c:ext xmlns:c16="http://schemas.microsoft.com/office/drawing/2014/chart" uri="{C3380CC4-5D6E-409C-BE32-E72D297353CC}">
              <c16:uniqueId val="{00000000-C203-4C92-AF41-36FD68ECA01C}"/>
            </c:ext>
          </c:extLst>
        </c:ser>
        <c:ser>
          <c:idx val="1"/>
          <c:order val="1"/>
          <c:tx>
            <c:strRef>
              <c:f>'Pivot Tables'!$D$21</c:f>
              <c:strCache>
                <c:ptCount val="1"/>
                <c:pt idx="0">
                  <c:v>Sum of COGS</c:v>
                </c:pt>
              </c:strCache>
            </c:strRef>
          </c:tx>
          <c:spPr>
            <a:solidFill>
              <a:srgbClr val="00B050"/>
            </a:solidFill>
            <a:ln>
              <a:noFill/>
            </a:ln>
            <a:effectLst/>
          </c:spPr>
          <c:invertIfNegative val="0"/>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Tables'!$B$22:$B$27</c:f>
              <c:strCache>
                <c:ptCount val="5"/>
                <c:pt idx="0">
                  <c:v>Channel Partners</c:v>
                </c:pt>
                <c:pt idx="1">
                  <c:v>Enterprise</c:v>
                </c:pt>
                <c:pt idx="2">
                  <c:v>Government</c:v>
                </c:pt>
                <c:pt idx="3">
                  <c:v>Midmarket</c:v>
                </c:pt>
                <c:pt idx="4">
                  <c:v>Small Business</c:v>
                </c:pt>
              </c:strCache>
            </c:strRef>
          </c:cat>
          <c:val>
            <c:numRef>
              <c:f>'Pivot Tables'!$D$22:$D$27</c:f>
              <c:numCache>
                <c:formatCode>[$$]#,##0.00</c:formatCode>
                <c:ptCount val="5"/>
                <c:pt idx="0">
                  <c:v>624832.19957081543</c:v>
                </c:pt>
                <c:pt idx="1">
                  <c:v>20226240</c:v>
                </c:pt>
                <c:pt idx="2">
                  <c:v>41116087.5</c:v>
                </c:pt>
                <c:pt idx="3">
                  <c:v>1721780</c:v>
                </c:pt>
                <c:pt idx="4">
                  <c:v>38284750</c:v>
                </c:pt>
              </c:numCache>
            </c:numRef>
          </c:val>
          <c:extLst>
            <c:ext xmlns:c16="http://schemas.microsoft.com/office/drawing/2014/chart" uri="{C3380CC4-5D6E-409C-BE32-E72D297353CC}">
              <c16:uniqueId val="{00000001-C203-4C92-AF41-36FD68ECA01C}"/>
            </c:ext>
          </c:extLst>
        </c:ser>
        <c:dLbls>
          <c:dLblPos val="outEnd"/>
          <c:showLegendKey val="0"/>
          <c:showVal val="1"/>
          <c:showCatName val="0"/>
          <c:showSerName val="0"/>
          <c:showPercent val="0"/>
          <c:showBubbleSize val="0"/>
        </c:dLbls>
        <c:gapWidth val="219"/>
        <c:overlap val="-27"/>
        <c:axId val="868743183"/>
        <c:axId val="868739823"/>
      </c:barChart>
      <c:catAx>
        <c:axId val="8687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68739823"/>
        <c:crosses val="autoZero"/>
        <c:auto val="1"/>
        <c:lblAlgn val="ctr"/>
        <c:lblOffset val="100"/>
        <c:noMultiLvlLbl val="0"/>
      </c:catAx>
      <c:valAx>
        <c:axId val="868739823"/>
        <c:scaling>
          <c:orientation val="minMax"/>
          <c:max val="55000000"/>
          <c:min val="0"/>
        </c:scaling>
        <c:delete val="0"/>
        <c:axPos val="l"/>
        <c:numFmt formatCode="&quot;$&quot;#,,&quot;M&quot;" sourceLinked="0"/>
        <c:majorTickMark val="none"/>
        <c:minorTickMark val="none"/>
        <c:tickLblPos val="nextTo"/>
        <c:spPr>
          <a:noFill/>
          <a:ln>
            <a:solidFill>
              <a:schemeClr val="bg2">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68743183"/>
        <c:crosses val="autoZero"/>
        <c:crossBetween val="between"/>
      </c:valAx>
      <c:spPr>
        <a:noFill/>
        <a:ln>
          <a:noFill/>
        </a:ln>
        <a:effectLst/>
      </c:spPr>
    </c:plotArea>
    <c:legend>
      <c:legendPos val="t"/>
      <c:layout>
        <c:manualLayout>
          <c:xMode val="edge"/>
          <c:yMode val="edge"/>
          <c:x val="0.30495231846019255"/>
          <c:y val="0.11020851560221639"/>
          <c:w val="0.49275217371243923"/>
          <c:h val="8.2475503062117234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Cumulative Project Data-Cleaned.xlsx]Pivot Tables!PivotTable4</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MONTHLY SALES &amp; COGS</a:t>
            </a:r>
            <a:r>
              <a:rPr lang="en-US" sz="1200" b="1" baseline="0"/>
              <a:t> TREND</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00B050"/>
            </a:solidFill>
            <a:round/>
          </a:ln>
          <a:effectLst/>
        </c:spPr>
        <c:marker>
          <c:symbol val="circle"/>
          <c:size val="5"/>
          <c:spPr>
            <a:solidFill>
              <a:srgbClr val="00B050"/>
            </a:solidFill>
            <a:ln w="9525">
              <a:solidFill>
                <a:srgbClr val="00B050"/>
              </a:solidFill>
            </a:ln>
            <a:effectLst/>
          </c:spPr>
        </c:marker>
        <c:dLbl>
          <c:idx val="0"/>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0043446472998491E-2"/>
              <c:y val="7.4916446255028926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192E-2"/>
              <c:y val="5.9472430811013395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2017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2017E-2"/>
              <c:y val="4.917642051500310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7815683861160739E-2"/>
              <c:y val="6.4620435959018729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2017E-2"/>
              <c:y val="4.917642051500319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1.9151689205182017E-2"/>
              <c:y val="4.9176420515003191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1823699893224819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0487694549203395E-2"/>
              <c:y val="5.4324425663008435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1823699893224781E-2"/>
              <c:y val="5.432442566300824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1379451817019866E-2"/>
              <c:y val="5.4324425663008338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rgbClr val="00B050"/>
            </a:solidFill>
            <a:round/>
          </a:ln>
          <a:effectLst/>
        </c:spPr>
        <c:marker>
          <c:symbol val="circle"/>
          <c:size val="5"/>
          <c:spPr>
            <a:solidFill>
              <a:srgbClr val="00B050"/>
            </a:solidFill>
            <a:ln w="9525">
              <a:solidFill>
                <a:srgbClr val="00B050"/>
              </a:solidFill>
            </a:ln>
            <a:effectLst/>
          </c:spPr>
        </c:marker>
        <c:dLbl>
          <c:idx val="0"/>
          <c:layout>
            <c:manualLayout>
              <c:x val="-2.0043446472998685E-2"/>
              <c:y val="4.4028415366998044E-2"/>
            </c:manualLayout>
          </c:layout>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17003034941274E-2"/>
          <c:y val="0.30972613904849128"/>
          <c:w val="0.94068693818082361"/>
          <c:h val="0.58596663574867092"/>
        </c:manualLayout>
      </c:layout>
      <c:lineChart>
        <c:grouping val="standard"/>
        <c:varyColors val="0"/>
        <c:ser>
          <c:idx val="0"/>
          <c:order val="0"/>
          <c:tx>
            <c:strRef>
              <c:f>'Pivot Tables'!$H$3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Tables'!$H$4:$H$16</c:f>
              <c:numCache>
                <c:formatCode>[$$]#,##0.00</c:formatCode>
                <c:ptCount val="12"/>
                <c:pt idx="0">
                  <c:v>6607761.6800000006</c:v>
                </c:pt>
                <c:pt idx="1">
                  <c:v>7326401.6855523679</c:v>
                </c:pt>
                <c:pt idx="2">
                  <c:v>5586859.8699999992</c:v>
                </c:pt>
                <c:pt idx="3">
                  <c:v>6964775.0700000003</c:v>
                </c:pt>
                <c:pt idx="4">
                  <c:v>6210211.0600000005</c:v>
                </c:pt>
                <c:pt idx="5">
                  <c:v>9842421.7881549541</c:v>
                </c:pt>
                <c:pt idx="6">
                  <c:v>8102920.1800000016</c:v>
                </c:pt>
                <c:pt idx="7">
                  <c:v>5864622.4199999999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C468-409F-A00A-C72A0BC7DF42}"/>
            </c:ext>
          </c:extLst>
        </c:ser>
        <c:ser>
          <c:idx val="1"/>
          <c:order val="1"/>
          <c:tx>
            <c:strRef>
              <c:f>'Pivot Tables'!$I$3</c:f>
              <c:strCache>
                <c:ptCount val="1"/>
                <c:pt idx="0">
                  <c:v>Sum of COGS</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Pt>
            <c:idx val="0"/>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5-C468-409F-A00A-C72A0BC7DF42}"/>
              </c:ext>
            </c:extLst>
          </c:dPt>
          <c:dPt>
            <c:idx val="1"/>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E-C468-409F-A00A-C72A0BC7DF42}"/>
              </c:ext>
            </c:extLst>
          </c:dPt>
          <c:dPt>
            <c:idx val="2"/>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D-C468-409F-A00A-C72A0BC7DF42}"/>
              </c:ext>
            </c:extLst>
          </c:dPt>
          <c:dPt>
            <c:idx val="3"/>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C-C468-409F-A00A-C72A0BC7DF42}"/>
              </c:ext>
            </c:extLst>
          </c:dPt>
          <c:dPt>
            <c:idx val="4"/>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B-C468-409F-A00A-C72A0BC7DF42}"/>
              </c:ext>
            </c:extLst>
          </c:dPt>
          <c:dPt>
            <c:idx val="5"/>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A-C468-409F-A00A-C72A0BC7DF42}"/>
              </c:ext>
            </c:extLst>
          </c:dPt>
          <c:dPt>
            <c:idx val="6"/>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9-C468-409F-A00A-C72A0BC7DF42}"/>
              </c:ext>
            </c:extLst>
          </c:dPt>
          <c:dPt>
            <c:idx val="7"/>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8-C468-409F-A00A-C72A0BC7DF42}"/>
              </c:ext>
            </c:extLst>
          </c:dPt>
          <c:dPt>
            <c:idx val="8"/>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7-C468-409F-A00A-C72A0BC7DF42}"/>
              </c:ext>
            </c:extLst>
          </c:dPt>
          <c:dPt>
            <c:idx val="9"/>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6-C468-409F-A00A-C72A0BC7DF42}"/>
              </c:ext>
            </c:extLst>
          </c:dPt>
          <c:dPt>
            <c:idx val="10"/>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F-C468-409F-A00A-C72A0BC7DF42}"/>
              </c:ext>
            </c:extLst>
          </c:dPt>
          <c:dPt>
            <c:idx val="11"/>
            <c:marker>
              <c:symbol val="circle"/>
              <c:size val="5"/>
              <c:spPr>
                <a:solidFill>
                  <a:srgbClr val="00B050"/>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0-C468-409F-A00A-C72A0BC7DF42}"/>
              </c:ext>
            </c:extLst>
          </c:dPt>
          <c:dLbls>
            <c:dLbl>
              <c:idx val="0"/>
              <c:layout>
                <c:manualLayout>
                  <c:x val="-2.1823699893224781E-2"/>
                  <c:y val="5.4324425663008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68-409F-A00A-C72A0BC7DF42}"/>
                </c:ext>
              </c:extLst>
            </c:dLbl>
            <c:dLbl>
              <c:idx val="1"/>
              <c:layout>
                <c:manualLayout>
                  <c:x val="-2.0487694549203395E-2"/>
                  <c:y val="5.43244256630084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68-409F-A00A-C72A0BC7DF42}"/>
                </c:ext>
              </c:extLst>
            </c:dLbl>
            <c:dLbl>
              <c:idx val="2"/>
              <c:layout>
                <c:manualLayout>
                  <c:x val="-2.1823699893224819E-2"/>
                  <c:y val="5.4324425663008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68-409F-A00A-C72A0BC7DF42}"/>
                </c:ext>
              </c:extLst>
            </c:dLbl>
            <c:dLbl>
              <c:idx val="3"/>
              <c:layout>
                <c:manualLayout>
                  <c:x val="-1.9151689205182017E-2"/>
                  <c:y val="4.9176420515003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68-409F-A00A-C72A0BC7DF42}"/>
                </c:ext>
              </c:extLst>
            </c:dLbl>
            <c:dLbl>
              <c:idx val="4"/>
              <c:layout>
                <c:manualLayout>
                  <c:x val="-1.9151689205182017E-2"/>
                  <c:y val="4.9176420515003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68-409F-A00A-C72A0BC7DF42}"/>
                </c:ext>
              </c:extLst>
            </c:dLbl>
            <c:dLbl>
              <c:idx val="5"/>
              <c:layout>
                <c:manualLayout>
                  <c:x val="-1.7815683861160739E-2"/>
                  <c:y val="6.46204359590187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68-409F-A00A-C72A0BC7DF42}"/>
                </c:ext>
              </c:extLst>
            </c:dLbl>
            <c:dLbl>
              <c:idx val="6"/>
              <c:layout>
                <c:manualLayout>
                  <c:x val="-1.9151689205182017E-2"/>
                  <c:y val="4.91764205150031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68-409F-A00A-C72A0BC7DF42}"/>
                </c:ext>
              </c:extLst>
            </c:dLbl>
            <c:dLbl>
              <c:idx val="7"/>
              <c:layout>
                <c:manualLayout>
                  <c:x val="-1.9151689205182017E-2"/>
                  <c:y val="5.4324425663008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68-409F-A00A-C72A0BC7DF42}"/>
                </c:ext>
              </c:extLst>
            </c:dLbl>
            <c:dLbl>
              <c:idx val="8"/>
              <c:layout>
                <c:manualLayout>
                  <c:x val="-1.915168920518192E-2"/>
                  <c:y val="5.94724308110133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68-409F-A00A-C72A0BC7DF42}"/>
                </c:ext>
              </c:extLst>
            </c:dLbl>
            <c:dLbl>
              <c:idx val="9"/>
              <c:layout>
                <c:manualLayout>
                  <c:x val="-2.0043446472998491E-2"/>
                  <c:y val="7.4916446255028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68-409F-A00A-C72A0BC7DF42}"/>
                </c:ext>
              </c:extLst>
            </c:dLbl>
            <c:dLbl>
              <c:idx val="10"/>
              <c:layout>
                <c:manualLayout>
                  <c:x val="-2.1379451817019866E-2"/>
                  <c:y val="5.43244256630083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68-409F-A00A-C72A0BC7DF42}"/>
                </c:ext>
              </c:extLst>
            </c:dLbl>
            <c:dLbl>
              <c:idx val="11"/>
              <c:layout>
                <c:manualLayout>
                  <c:x val="-2.0043446472998685E-2"/>
                  <c:y val="4.4028415366998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68-409F-A00A-C72A0BC7DF42}"/>
                </c:ext>
              </c:extLst>
            </c:dLbl>
            <c:numFmt formatCode="&quot;$&quot;#,,&quot;M&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Tables'!$I$4:$I$16</c:f>
              <c:numCache>
                <c:formatCode>[$$]#,##0.00</c:formatCode>
                <c:ptCount val="12"/>
                <c:pt idx="0">
                  <c:v>5793733</c:v>
                </c:pt>
                <c:pt idx="1">
                  <c:v>6148984</c:v>
                </c:pt>
                <c:pt idx="2">
                  <c:v>4916993</c:v>
                </c:pt>
                <c:pt idx="3">
                  <c:v>6034790.5</c:v>
                </c:pt>
                <c:pt idx="4">
                  <c:v>5381571</c:v>
                </c:pt>
                <c:pt idx="5">
                  <c:v>8186181.699570816</c:v>
                </c:pt>
                <c:pt idx="6">
                  <c:v>7179054.5</c:v>
                </c:pt>
                <c:pt idx="7">
                  <c:v>5073556</c:v>
                </c:pt>
                <c:pt idx="8">
                  <c:v>9095962</c:v>
                </c:pt>
                <c:pt idx="9">
                  <c:v>18231650</c:v>
                </c:pt>
                <c:pt idx="10">
                  <c:v>11281315</c:v>
                </c:pt>
                <c:pt idx="11">
                  <c:v>14649899</c:v>
                </c:pt>
              </c:numCache>
            </c:numRef>
          </c:val>
          <c:smooth val="0"/>
          <c:extLst>
            <c:ext xmlns:c16="http://schemas.microsoft.com/office/drawing/2014/chart" uri="{C3380CC4-5D6E-409C-BE32-E72D297353CC}">
              <c16:uniqueId val="{00000003-C468-409F-A00A-C72A0BC7DF42}"/>
            </c:ext>
          </c:extLst>
        </c:ser>
        <c:dLbls>
          <c:dLblPos val="t"/>
          <c:showLegendKey val="0"/>
          <c:showVal val="1"/>
          <c:showCatName val="0"/>
          <c:showSerName val="0"/>
          <c:showPercent val="0"/>
          <c:showBubbleSize val="0"/>
        </c:dLbls>
        <c:marker val="1"/>
        <c:smooth val="0"/>
        <c:axId val="911404239"/>
        <c:axId val="911420559"/>
      </c:lineChart>
      <c:catAx>
        <c:axId val="91140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11420559"/>
        <c:crosses val="autoZero"/>
        <c:auto val="1"/>
        <c:lblAlgn val="ctr"/>
        <c:lblOffset val="100"/>
        <c:noMultiLvlLbl val="0"/>
      </c:catAx>
      <c:valAx>
        <c:axId val="911420559"/>
        <c:scaling>
          <c:orientation val="minMax"/>
        </c:scaling>
        <c:delete val="0"/>
        <c:axPos val="l"/>
        <c:numFmt formatCode="&quot;$&quot;#,,&quot;M&quot;" sourceLinked="0"/>
        <c:majorTickMark val="none"/>
        <c:minorTickMark val="none"/>
        <c:tickLblPos val="nextTo"/>
        <c:spPr>
          <a:noFill/>
          <a:ln>
            <a:solidFill>
              <a:schemeClr val="bg2">
                <a:lumMod val="85000"/>
              </a:schemeClr>
            </a:solid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114042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0</xdr:col>
      <xdr:colOff>523875</xdr:colOff>
      <xdr:row>1</xdr:row>
      <xdr:rowOff>9525</xdr:rowOff>
    </xdr:to>
    <xdr:pic>
      <xdr:nvPicPr>
        <xdr:cNvPr id="4" name="Graphic 3" descr="Upward trend with solid fill">
          <a:extLst>
            <a:ext uri="{FF2B5EF4-FFF2-40B4-BE49-F238E27FC236}">
              <a16:creationId xmlns:a16="http://schemas.microsoft.com/office/drawing/2014/main" id="{D376E337-6FF4-8479-66D0-9DEDEB9230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 y="0"/>
          <a:ext cx="504825" cy="504825"/>
        </a:xfrm>
        <a:prstGeom prst="rect">
          <a:avLst/>
        </a:prstGeom>
      </xdr:spPr>
    </xdr:pic>
    <xdr:clientData/>
  </xdr:twoCellAnchor>
  <xdr:twoCellAnchor editAs="oneCell">
    <xdr:from>
      <xdr:col>17</xdr:col>
      <xdr:colOff>123825</xdr:colOff>
      <xdr:row>0</xdr:row>
      <xdr:rowOff>0</xdr:rowOff>
    </xdr:from>
    <xdr:to>
      <xdr:col>17</xdr:col>
      <xdr:colOff>533400</xdr:colOff>
      <xdr:row>0</xdr:row>
      <xdr:rowOff>409575</xdr:rowOff>
    </xdr:to>
    <xdr:pic>
      <xdr:nvPicPr>
        <xdr:cNvPr id="6" name="Graphic 5" descr="Daily calendar with solid fill">
          <a:extLst>
            <a:ext uri="{FF2B5EF4-FFF2-40B4-BE49-F238E27FC236}">
              <a16:creationId xmlns:a16="http://schemas.microsoft.com/office/drawing/2014/main" id="{5F5AF7A9-0D0D-34BF-5950-6F273B2C05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01350" y="0"/>
          <a:ext cx="409575" cy="409575"/>
        </a:xfrm>
        <a:prstGeom prst="rect">
          <a:avLst/>
        </a:prstGeom>
      </xdr:spPr>
    </xdr:pic>
    <xdr:clientData/>
  </xdr:twoCellAnchor>
  <xdr:twoCellAnchor>
    <xdr:from>
      <xdr:col>10</xdr:col>
      <xdr:colOff>342900</xdr:colOff>
      <xdr:row>1</xdr:row>
      <xdr:rowOff>47625</xdr:rowOff>
    </xdr:from>
    <xdr:to>
      <xdr:col>13</xdr:col>
      <xdr:colOff>333376</xdr:colOff>
      <xdr:row>6</xdr:row>
      <xdr:rowOff>76200</xdr:rowOff>
    </xdr:to>
    <xdr:sp macro="" textlink="">
      <xdr:nvSpPr>
        <xdr:cNvPr id="12" name="Rectangle: Rounded Corners 11">
          <a:extLst>
            <a:ext uri="{FF2B5EF4-FFF2-40B4-BE49-F238E27FC236}">
              <a16:creationId xmlns:a16="http://schemas.microsoft.com/office/drawing/2014/main" id="{1F5AC162-D684-4197-80BC-E6B7559A0B60}"/>
            </a:ext>
          </a:extLst>
        </xdr:cNvPr>
        <xdr:cNvSpPr/>
      </xdr:nvSpPr>
      <xdr:spPr>
        <a:xfrm>
          <a:off x="6800850" y="542925"/>
          <a:ext cx="1819276" cy="847725"/>
        </a:xfrm>
        <a:prstGeom prst="roundRect">
          <a:avLst/>
        </a:prstGeom>
        <a:solidFill>
          <a:srgbClr val="CCCCFF"/>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238125</xdr:colOff>
      <xdr:row>1</xdr:row>
      <xdr:rowOff>47625</xdr:rowOff>
    </xdr:from>
    <xdr:to>
      <xdr:col>10</xdr:col>
      <xdr:colOff>228601</xdr:colOff>
      <xdr:row>6</xdr:row>
      <xdr:rowOff>76200</xdr:rowOff>
    </xdr:to>
    <xdr:sp macro="" textlink="">
      <xdr:nvSpPr>
        <xdr:cNvPr id="13" name="Rectangle: Rounded Corners 12">
          <a:extLst>
            <a:ext uri="{FF2B5EF4-FFF2-40B4-BE49-F238E27FC236}">
              <a16:creationId xmlns:a16="http://schemas.microsoft.com/office/drawing/2014/main" id="{897CA9DA-EF9D-4028-AE7F-DCCDBB6F3DF0}"/>
            </a:ext>
          </a:extLst>
        </xdr:cNvPr>
        <xdr:cNvSpPr/>
      </xdr:nvSpPr>
      <xdr:spPr>
        <a:xfrm>
          <a:off x="4867275" y="542925"/>
          <a:ext cx="1819276" cy="847725"/>
        </a:xfrm>
        <a:prstGeom prst="roundRect">
          <a:avLst/>
        </a:prstGeom>
        <a:solidFill>
          <a:schemeClr val="accent4">
            <a:lumMod val="20000"/>
            <a:lumOff val="8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133350</xdr:colOff>
      <xdr:row>1</xdr:row>
      <xdr:rowOff>47625</xdr:rowOff>
    </xdr:from>
    <xdr:to>
      <xdr:col>7</xdr:col>
      <xdr:colOff>123826</xdr:colOff>
      <xdr:row>6</xdr:row>
      <xdr:rowOff>76200</xdr:rowOff>
    </xdr:to>
    <xdr:sp macro="" textlink="">
      <xdr:nvSpPr>
        <xdr:cNvPr id="14" name="Rectangle: Rounded Corners 13">
          <a:extLst>
            <a:ext uri="{FF2B5EF4-FFF2-40B4-BE49-F238E27FC236}">
              <a16:creationId xmlns:a16="http://schemas.microsoft.com/office/drawing/2014/main" id="{ADC54248-79C5-4039-98D6-6780B547A92C}"/>
            </a:ext>
          </a:extLst>
        </xdr:cNvPr>
        <xdr:cNvSpPr/>
      </xdr:nvSpPr>
      <xdr:spPr>
        <a:xfrm>
          <a:off x="2933700" y="542925"/>
          <a:ext cx="1819276" cy="847725"/>
        </a:xfrm>
        <a:prstGeom prst="roundRect">
          <a:avLst/>
        </a:prstGeom>
        <a:solidFill>
          <a:schemeClr val="accent2">
            <a:lumMod val="20000"/>
            <a:lumOff val="8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38100</xdr:colOff>
      <xdr:row>1</xdr:row>
      <xdr:rowOff>38100</xdr:rowOff>
    </xdr:from>
    <xdr:to>
      <xdr:col>4</xdr:col>
      <xdr:colOff>28576</xdr:colOff>
      <xdr:row>6</xdr:row>
      <xdr:rowOff>66675</xdr:rowOff>
    </xdr:to>
    <xdr:sp macro="" textlink="">
      <xdr:nvSpPr>
        <xdr:cNvPr id="15" name="Rectangle: Rounded Corners 14">
          <a:extLst>
            <a:ext uri="{FF2B5EF4-FFF2-40B4-BE49-F238E27FC236}">
              <a16:creationId xmlns:a16="http://schemas.microsoft.com/office/drawing/2014/main" id="{80DC15B1-0AD2-497C-91E4-306847383E84}"/>
            </a:ext>
          </a:extLst>
        </xdr:cNvPr>
        <xdr:cNvSpPr/>
      </xdr:nvSpPr>
      <xdr:spPr>
        <a:xfrm>
          <a:off x="1009650" y="533400"/>
          <a:ext cx="1819276" cy="847725"/>
        </a:xfrm>
        <a:prstGeom prst="roundRect">
          <a:avLst/>
        </a:prstGeom>
        <a:solidFill>
          <a:schemeClr val="accent1">
            <a:lumMod val="40000"/>
            <a:lumOff val="6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428625</xdr:colOff>
      <xdr:row>1</xdr:row>
      <xdr:rowOff>47625</xdr:rowOff>
    </xdr:from>
    <xdr:to>
      <xdr:col>16</xdr:col>
      <xdr:colOff>419101</xdr:colOff>
      <xdr:row>6</xdr:row>
      <xdr:rowOff>76200</xdr:rowOff>
    </xdr:to>
    <xdr:sp macro="" textlink="">
      <xdr:nvSpPr>
        <xdr:cNvPr id="16" name="Rectangle: Rounded Corners 15">
          <a:extLst>
            <a:ext uri="{FF2B5EF4-FFF2-40B4-BE49-F238E27FC236}">
              <a16:creationId xmlns:a16="http://schemas.microsoft.com/office/drawing/2014/main" id="{46466E44-C16C-4201-AF74-6B0BB6E8A3FE}"/>
            </a:ext>
          </a:extLst>
        </xdr:cNvPr>
        <xdr:cNvSpPr/>
      </xdr:nvSpPr>
      <xdr:spPr>
        <a:xfrm>
          <a:off x="8715375" y="542925"/>
          <a:ext cx="1819276" cy="847725"/>
        </a:xfrm>
        <a:prstGeom prst="roundRect">
          <a:avLst/>
        </a:prstGeom>
        <a:solidFill>
          <a:schemeClr val="accent3">
            <a:lumMod val="20000"/>
            <a:lumOff val="8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523875</xdr:colOff>
      <xdr:row>1</xdr:row>
      <xdr:rowOff>47625</xdr:rowOff>
    </xdr:from>
    <xdr:to>
      <xdr:col>18</xdr:col>
      <xdr:colOff>1123951</xdr:colOff>
      <xdr:row>6</xdr:row>
      <xdr:rowOff>76200</xdr:rowOff>
    </xdr:to>
    <xdr:sp macro="" textlink="">
      <xdr:nvSpPr>
        <xdr:cNvPr id="17" name="Rectangle: Rounded Corners 16">
          <a:extLst>
            <a:ext uri="{FF2B5EF4-FFF2-40B4-BE49-F238E27FC236}">
              <a16:creationId xmlns:a16="http://schemas.microsoft.com/office/drawing/2014/main" id="{B857CB84-7744-456D-B210-D87A672C2E49}"/>
            </a:ext>
          </a:extLst>
        </xdr:cNvPr>
        <xdr:cNvSpPr/>
      </xdr:nvSpPr>
      <xdr:spPr>
        <a:xfrm>
          <a:off x="10639425" y="542925"/>
          <a:ext cx="1819276" cy="847725"/>
        </a:xfrm>
        <a:prstGeom prst="roundRect">
          <a:avLst/>
        </a:prstGeom>
        <a:solidFill>
          <a:schemeClr val="accent6">
            <a:lumMod val="40000"/>
            <a:lumOff val="60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104775</xdr:colOff>
      <xdr:row>1</xdr:row>
      <xdr:rowOff>85725</xdr:rowOff>
    </xdr:from>
    <xdr:to>
      <xdr:col>3</xdr:col>
      <xdr:colOff>552450</xdr:colOff>
      <xdr:row>3</xdr:row>
      <xdr:rowOff>9525</xdr:rowOff>
    </xdr:to>
    <xdr:sp macro="" textlink="">
      <xdr:nvSpPr>
        <xdr:cNvPr id="18" name="TextBox 17">
          <a:extLst>
            <a:ext uri="{FF2B5EF4-FFF2-40B4-BE49-F238E27FC236}">
              <a16:creationId xmlns:a16="http://schemas.microsoft.com/office/drawing/2014/main" id="{CD47946D-AF5A-C0BB-73EC-CD06689BBA80}"/>
            </a:ext>
          </a:extLst>
        </xdr:cNvPr>
        <xdr:cNvSpPr txBox="1"/>
      </xdr:nvSpPr>
      <xdr:spPr>
        <a:xfrm>
          <a:off x="1076325" y="58102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TOTAL REVENUE</a:t>
          </a:r>
        </a:p>
      </xdr:txBody>
    </xdr:sp>
    <xdr:clientData/>
  </xdr:twoCellAnchor>
  <xdr:twoCellAnchor>
    <xdr:from>
      <xdr:col>1</xdr:col>
      <xdr:colOff>95250</xdr:colOff>
      <xdr:row>4</xdr:row>
      <xdr:rowOff>133350</xdr:rowOff>
    </xdr:from>
    <xdr:to>
      <xdr:col>3</xdr:col>
      <xdr:colOff>542925</xdr:colOff>
      <xdr:row>6</xdr:row>
      <xdr:rowOff>66675</xdr:rowOff>
    </xdr:to>
    <xdr:sp macro="" textlink="">
      <xdr:nvSpPr>
        <xdr:cNvPr id="20" name="TextBox 19">
          <a:extLst>
            <a:ext uri="{FF2B5EF4-FFF2-40B4-BE49-F238E27FC236}">
              <a16:creationId xmlns:a16="http://schemas.microsoft.com/office/drawing/2014/main" id="{F34E6F3F-4248-4ED0-8958-E8A18DABBF7C}"/>
            </a:ext>
          </a:extLst>
        </xdr:cNvPr>
        <xdr:cNvSpPr txBox="1"/>
      </xdr:nvSpPr>
      <xdr:spPr>
        <a:xfrm>
          <a:off x="1066800" y="112395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100% of Total</a:t>
          </a:r>
        </a:p>
      </xdr:txBody>
    </xdr:sp>
    <xdr:clientData/>
  </xdr:twoCellAnchor>
  <xdr:twoCellAnchor>
    <xdr:from>
      <xdr:col>1</xdr:col>
      <xdr:colOff>114300</xdr:colOff>
      <xdr:row>2</xdr:row>
      <xdr:rowOff>152400</xdr:rowOff>
    </xdr:from>
    <xdr:to>
      <xdr:col>3</xdr:col>
      <xdr:colOff>561975</xdr:colOff>
      <xdr:row>4</xdr:row>
      <xdr:rowOff>85725</xdr:rowOff>
    </xdr:to>
    <xdr:sp macro="" textlink="Analysis!O2">
      <xdr:nvSpPr>
        <xdr:cNvPr id="21" name="TextBox 20">
          <a:extLst>
            <a:ext uri="{FF2B5EF4-FFF2-40B4-BE49-F238E27FC236}">
              <a16:creationId xmlns:a16="http://schemas.microsoft.com/office/drawing/2014/main" id="{38C8B95C-2882-4AD6-85E4-2E63C79C4C48}"/>
            </a:ext>
          </a:extLst>
        </xdr:cNvPr>
        <xdr:cNvSpPr txBox="1"/>
      </xdr:nvSpPr>
      <xdr:spPr>
        <a:xfrm>
          <a:off x="1085850" y="81915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7A8BA9-38FA-4C4C-8198-747AE0C9C0DA}" type="TxLink">
            <a:rPr lang="en-US" sz="1300" b="1" i="0" u="none" strike="noStrike">
              <a:solidFill>
                <a:srgbClr val="000000"/>
              </a:solidFill>
              <a:latin typeface="Arial"/>
              <a:cs typeface="Arial"/>
            </a:rPr>
            <a:pPr algn="ctr"/>
            <a:t> 119,078,749 </a:t>
          </a:fld>
          <a:endParaRPr lang="en-US" sz="1300" b="1"/>
        </a:p>
      </xdr:txBody>
    </xdr:sp>
    <xdr:clientData/>
  </xdr:twoCellAnchor>
  <xdr:twoCellAnchor>
    <xdr:from>
      <xdr:col>4</xdr:col>
      <xdr:colOff>228600</xdr:colOff>
      <xdr:row>4</xdr:row>
      <xdr:rowOff>123825</xdr:rowOff>
    </xdr:from>
    <xdr:to>
      <xdr:col>7</xdr:col>
      <xdr:colOff>66675</xdr:colOff>
      <xdr:row>6</xdr:row>
      <xdr:rowOff>57150</xdr:rowOff>
    </xdr:to>
    <xdr:sp macro="" textlink="">
      <xdr:nvSpPr>
        <xdr:cNvPr id="22" name="TextBox 21">
          <a:extLst>
            <a:ext uri="{FF2B5EF4-FFF2-40B4-BE49-F238E27FC236}">
              <a16:creationId xmlns:a16="http://schemas.microsoft.com/office/drawing/2014/main" id="{02655245-3F11-49FE-9958-285CD67943F5}"/>
            </a:ext>
          </a:extLst>
        </xdr:cNvPr>
        <xdr:cNvSpPr txBox="1"/>
      </xdr:nvSpPr>
      <xdr:spPr>
        <a:xfrm>
          <a:off x="3028950" y="111442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85.6% of</a:t>
          </a:r>
          <a:r>
            <a:rPr lang="en-US" sz="800" b="1" baseline="0"/>
            <a:t> Revenue</a:t>
          </a:r>
          <a:endParaRPr lang="en-US" sz="800" b="1"/>
        </a:p>
      </xdr:txBody>
    </xdr:sp>
    <xdr:clientData/>
  </xdr:twoCellAnchor>
  <xdr:twoCellAnchor editAs="oneCell">
    <xdr:from>
      <xdr:col>1</xdr:col>
      <xdr:colOff>142875</xdr:colOff>
      <xdr:row>2</xdr:row>
      <xdr:rowOff>95250</xdr:rowOff>
    </xdr:from>
    <xdr:to>
      <xdr:col>1</xdr:col>
      <xdr:colOff>457200</xdr:colOff>
      <xdr:row>4</xdr:row>
      <xdr:rowOff>85725</xdr:rowOff>
    </xdr:to>
    <xdr:pic>
      <xdr:nvPicPr>
        <xdr:cNvPr id="24" name="Graphic 23" descr="Coins with solid fill">
          <a:extLst>
            <a:ext uri="{FF2B5EF4-FFF2-40B4-BE49-F238E27FC236}">
              <a16:creationId xmlns:a16="http://schemas.microsoft.com/office/drawing/2014/main" id="{961E4C18-0924-891C-2A55-8B6C92933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14425" y="762000"/>
          <a:ext cx="314325" cy="314325"/>
        </a:xfrm>
        <a:prstGeom prst="rect">
          <a:avLst/>
        </a:prstGeom>
      </xdr:spPr>
    </xdr:pic>
    <xdr:clientData/>
  </xdr:twoCellAnchor>
  <xdr:twoCellAnchor>
    <xdr:from>
      <xdr:col>4</xdr:col>
      <xdr:colOff>238125</xdr:colOff>
      <xdr:row>2</xdr:row>
      <xdr:rowOff>142875</xdr:rowOff>
    </xdr:from>
    <xdr:to>
      <xdr:col>7</xdr:col>
      <xdr:colOff>76200</xdr:colOff>
      <xdr:row>4</xdr:row>
      <xdr:rowOff>76200</xdr:rowOff>
    </xdr:to>
    <xdr:sp macro="" textlink="Analysis!O3">
      <xdr:nvSpPr>
        <xdr:cNvPr id="25" name="TextBox 24">
          <a:extLst>
            <a:ext uri="{FF2B5EF4-FFF2-40B4-BE49-F238E27FC236}">
              <a16:creationId xmlns:a16="http://schemas.microsoft.com/office/drawing/2014/main" id="{FECC57AD-7AEA-481B-B5CE-D0005A7D425E}"/>
            </a:ext>
          </a:extLst>
        </xdr:cNvPr>
        <xdr:cNvSpPr txBox="1"/>
      </xdr:nvSpPr>
      <xdr:spPr>
        <a:xfrm>
          <a:off x="3038475" y="80962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7DD661-5167-4A79-B174-FDC5E58872D6}" type="TxLink">
            <a:rPr lang="en-US" sz="1300" b="1" i="0" u="none" strike="noStrike">
              <a:solidFill>
                <a:srgbClr val="000000"/>
              </a:solidFill>
              <a:latin typeface="Arial"/>
              <a:cs typeface="Arial"/>
            </a:rPr>
            <a:pPr algn="ctr"/>
            <a:t> 101,973,690 </a:t>
          </a:fld>
          <a:endParaRPr lang="en-US" sz="1300" b="1"/>
        </a:p>
      </xdr:txBody>
    </xdr:sp>
    <xdr:clientData/>
  </xdr:twoCellAnchor>
  <xdr:twoCellAnchor>
    <xdr:from>
      <xdr:col>7</xdr:col>
      <xdr:colOff>323850</xdr:colOff>
      <xdr:row>4</xdr:row>
      <xdr:rowOff>104775</xdr:rowOff>
    </xdr:from>
    <xdr:to>
      <xdr:col>10</xdr:col>
      <xdr:colOff>161925</xdr:colOff>
      <xdr:row>6</xdr:row>
      <xdr:rowOff>38100</xdr:rowOff>
    </xdr:to>
    <xdr:sp macro="" textlink="">
      <xdr:nvSpPr>
        <xdr:cNvPr id="26" name="TextBox 25">
          <a:extLst>
            <a:ext uri="{FF2B5EF4-FFF2-40B4-BE49-F238E27FC236}">
              <a16:creationId xmlns:a16="http://schemas.microsoft.com/office/drawing/2014/main" id="{444EB20A-B891-4045-826C-98D8BB6BC3A0}"/>
            </a:ext>
          </a:extLst>
        </xdr:cNvPr>
        <xdr:cNvSpPr txBox="1"/>
      </xdr:nvSpPr>
      <xdr:spPr>
        <a:xfrm>
          <a:off x="4953000" y="109537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14.4% of Revenue</a:t>
          </a:r>
        </a:p>
      </xdr:txBody>
    </xdr:sp>
    <xdr:clientData/>
  </xdr:twoCellAnchor>
  <xdr:twoCellAnchor>
    <xdr:from>
      <xdr:col>7</xdr:col>
      <xdr:colOff>314325</xdr:colOff>
      <xdr:row>1</xdr:row>
      <xdr:rowOff>104775</xdr:rowOff>
    </xdr:from>
    <xdr:to>
      <xdr:col>10</xdr:col>
      <xdr:colOff>152400</xdr:colOff>
      <xdr:row>3</xdr:row>
      <xdr:rowOff>28575</xdr:rowOff>
    </xdr:to>
    <xdr:sp macro="" textlink="">
      <xdr:nvSpPr>
        <xdr:cNvPr id="27" name="TextBox 26">
          <a:extLst>
            <a:ext uri="{FF2B5EF4-FFF2-40B4-BE49-F238E27FC236}">
              <a16:creationId xmlns:a16="http://schemas.microsoft.com/office/drawing/2014/main" id="{EDD950E2-B059-4E20-A605-B55C9F5057E2}"/>
            </a:ext>
          </a:extLst>
        </xdr:cNvPr>
        <xdr:cNvSpPr txBox="1"/>
      </xdr:nvSpPr>
      <xdr:spPr>
        <a:xfrm>
          <a:off x="4943475" y="60007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TOTAL PROFIT</a:t>
          </a:r>
        </a:p>
      </xdr:txBody>
    </xdr:sp>
    <xdr:clientData/>
  </xdr:twoCellAnchor>
  <xdr:twoCellAnchor>
    <xdr:from>
      <xdr:col>7</xdr:col>
      <xdr:colOff>304800</xdr:colOff>
      <xdr:row>2</xdr:row>
      <xdr:rowOff>123825</xdr:rowOff>
    </xdr:from>
    <xdr:to>
      <xdr:col>10</xdr:col>
      <xdr:colOff>142875</xdr:colOff>
      <xdr:row>4</xdr:row>
      <xdr:rowOff>57150</xdr:rowOff>
    </xdr:to>
    <xdr:sp macro="" textlink="Analysis!O4">
      <xdr:nvSpPr>
        <xdr:cNvPr id="28" name="TextBox 27">
          <a:extLst>
            <a:ext uri="{FF2B5EF4-FFF2-40B4-BE49-F238E27FC236}">
              <a16:creationId xmlns:a16="http://schemas.microsoft.com/office/drawing/2014/main" id="{AA00E69E-02C6-43BE-BC9B-0A8C669B5883}"/>
            </a:ext>
          </a:extLst>
        </xdr:cNvPr>
        <xdr:cNvSpPr txBox="1"/>
      </xdr:nvSpPr>
      <xdr:spPr>
        <a:xfrm>
          <a:off x="4933950" y="79057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DED216-6E1E-4400-928D-2C83DB5BB4DE}" type="TxLink">
            <a:rPr lang="en-US" sz="1300" b="1" i="0" u="none" strike="noStrike">
              <a:solidFill>
                <a:srgbClr val="000000"/>
              </a:solidFill>
              <a:latin typeface="Arial"/>
              <a:cs typeface="Arial"/>
            </a:rPr>
            <a:pPr algn="ctr"/>
            <a:t> 17,105,059 </a:t>
          </a:fld>
          <a:endParaRPr lang="en-US" sz="1300" b="1"/>
        </a:p>
      </xdr:txBody>
    </xdr:sp>
    <xdr:clientData/>
  </xdr:twoCellAnchor>
  <xdr:twoCellAnchor>
    <xdr:from>
      <xdr:col>4</xdr:col>
      <xdr:colOff>209550</xdr:colOff>
      <xdr:row>1</xdr:row>
      <xdr:rowOff>85725</xdr:rowOff>
    </xdr:from>
    <xdr:to>
      <xdr:col>7</xdr:col>
      <xdr:colOff>47625</xdr:colOff>
      <xdr:row>3</xdr:row>
      <xdr:rowOff>9525</xdr:rowOff>
    </xdr:to>
    <xdr:sp macro="" textlink="">
      <xdr:nvSpPr>
        <xdr:cNvPr id="29" name="TextBox 28">
          <a:extLst>
            <a:ext uri="{FF2B5EF4-FFF2-40B4-BE49-F238E27FC236}">
              <a16:creationId xmlns:a16="http://schemas.microsoft.com/office/drawing/2014/main" id="{A9AE7140-7F84-41DA-A40C-4DD42941C01A}"/>
            </a:ext>
          </a:extLst>
        </xdr:cNvPr>
        <xdr:cNvSpPr txBox="1"/>
      </xdr:nvSpPr>
      <xdr:spPr>
        <a:xfrm>
          <a:off x="3009900" y="58102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TOTAL EXPENSES (COGS)</a:t>
          </a:r>
        </a:p>
      </xdr:txBody>
    </xdr:sp>
    <xdr:clientData/>
  </xdr:twoCellAnchor>
  <xdr:twoCellAnchor editAs="oneCell">
    <xdr:from>
      <xdr:col>4</xdr:col>
      <xdr:colOff>200026</xdr:colOff>
      <xdr:row>2</xdr:row>
      <xdr:rowOff>114301</xdr:rowOff>
    </xdr:from>
    <xdr:to>
      <xdr:col>4</xdr:col>
      <xdr:colOff>533400</xdr:colOff>
      <xdr:row>4</xdr:row>
      <xdr:rowOff>123825</xdr:rowOff>
    </xdr:to>
    <xdr:pic>
      <xdr:nvPicPr>
        <xdr:cNvPr id="31" name="Graphic 30" descr="Money with solid fill">
          <a:extLst>
            <a:ext uri="{FF2B5EF4-FFF2-40B4-BE49-F238E27FC236}">
              <a16:creationId xmlns:a16="http://schemas.microsoft.com/office/drawing/2014/main" id="{DDCDF21A-5717-21B4-BD35-3C52207EC44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00376" y="781051"/>
          <a:ext cx="333374" cy="333374"/>
        </a:xfrm>
        <a:prstGeom prst="rect">
          <a:avLst/>
        </a:prstGeom>
      </xdr:spPr>
    </xdr:pic>
    <xdr:clientData/>
  </xdr:twoCellAnchor>
  <xdr:twoCellAnchor>
    <xdr:from>
      <xdr:col>10</xdr:col>
      <xdr:colOff>542925</xdr:colOff>
      <xdr:row>4</xdr:row>
      <xdr:rowOff>104775</xdr:rowOff>
    </xdr:from>
    <xdr:to>
      <xdr:col>13</xdr:col>
      <xdr:colOff>381000</xdr:colOff>
      <xdr:row>6</xdr:row>
      <xdr:rowOff>38100</xdr:rowOff>
    </xdr:to>
    <xdr:sp macro="" textlink="">
      <xdr:nvSpPr>
        <xdr:cNvPr id="32" name="TextBox 31">
          <a:extLst>
            <a:ext uri="{FF2B5EF4-FFF2-40B4-BE49-F238E27FC236}">
              <a16:creationId xmlns:a16="http://schemas.microsoft.com/office/drawing/2014/main" id="{2C0B78E3-F065-4343-8099-642204506EC3}"/>
            </a:ext>
          </a:extLst>
        </xdr:cNvPr>
        <xdr:cNvSpPr txBox="1"/>
      </xdr:nvSpPr>
      <xdr:spPr>
        <a:xfrm>
          <a:off x="7000875" y="109537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Average of Profit Margin</a:t>
          </a:r>
        </a:p>
      </xdr:txBody>
    </xdr:sp>
    <xdr:clientData/>
  </xdr:twoCellAnchor>
  <xdr:twoCellAnchor>
    <xdr:from>
      <xdr:col>14</xdr:col>
      <xdr:colOff>38100</xdr:colOff>
      <xdr:row>4</xdr:row>
      <xdr:rowOff>76200</xdr:rowOff>
    </xdr:from>
    <xdr:to>
      <xdr:col>16</xdr:col>
      <xdr:colOff>485775</xdr:colOff>
      <xdr:row>6</xdr:row>
      <xdr:rowOff>9525</xdr:rowOff>
    </xdr:to>
    <xdr:sp macro="" textlink="">
      <xdr:nvSpPr>
        <xdr:cNvPr id="33" name="TextBox 32">
          <a:extLst>
            <a:ext uri="{FF2B5EF4-FFF2-40B4-BE49-F238E27FC236}">
              <a16:creationId xmlns:a16="http://schemas.microsoft.com/office/drawing/2014/main" id="{7E125222-0CD7-4421-A542-177EADE35A6D}"/>
            </a:ext>
          </a:extLst>
        </xdr:cNvPr>
        <xdr:cNvSpPr txBox="1"/>
      </xdr:nvSpPr>
      <xdr:spPr>
        <a:xfrm>
          <a:off x="8934450" y="106680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Sum of Units Sold</a:t>
          </a:r>
        </a:p>
      </xdr:txBody>
    </xdr:sp>
    <xdr:clientData/>
  </xdr:twoCellAnchor>
  <xdr:twoCellAnchor>
    <xdr:from>
      <xdr:col>17</xdr:col>
      <xdr:colOff>104775</xdr:colOff>
      <xdr:row>4</xdr:row>
      <xdr:rowOff>57150</xdr:rowOff>
    </xdr:from>
    <xdr:to>
      <xdr:col>18</xdr:col>
      <xdr:colOff>1162050</xdr:colOff>
      <xdr:row>5</xdr:row>
      <xdr:rowOff>152400</xdr:rowOff>
    </xdr:to>
    <xdr:sp macro="" textlink="">
      <xdr:nvSpPr>
        <xdr:cNvPr id="34" name="TextBox 33">
          <a:extLst>
            <a:ext uri="{FF2B5EF4-FFF2-40B4-BE49-F238E27FC236}">
              <a16:creationId xmlns:a16="http://schemas.microsoft.com/office/drawing/2014/main" id="{7DC83280-D1EC-4971-92A4-895EFA5D7E0D}"/>
            </a:ext>
          </a:extLst>
        </xdr:cNvPr>
        <xdr:cNvSpPr txBox="1"/>
      </xdr:nvSpPr>
      <xdr:spPr>
        <a:xfrm>
          <a:off x="10829925" y="104775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7.7%</a:t>
          </a:r>
          <a:r>
            <a:rPr lang="en-US" sz="800" b="1" baseline="0"/>
            <a:t> of Revenue</a:t>
          </a:r>
          <a:endParaRPr lang="en-US" sz="800" b="1"/>
        </a:p>
      </xdr:txBody>
    </xdr:sp>
    <xdr:clientData/>
  </xdr:twoCellAnchor>
  <xdr:twoCellAnchor>
    <xdr:from>
      <xdr:col>10</xdr:col>
      <xdr:colOff>523875</xdr:colOff>
      <xdr:row>1</xdr:row>
      <xdr:rowOff>95250</xdr:rowOff>
    </xdr:from>
    <xdr:to>
      <xdr:col>13</xdr:col>
      <xdr:colOff>361950</xdr:colOff>
      <xdr:row>3</xdr:row>
      <xdr:rowOff>19050</xdr:rowOff>
    </xdr:to>
    <xdr:sp macro="" textlink="">
      <xdr:nvSpPr>
        <xdr:cNvPr id="35" name="TextBox 34">
          <a:extLst>
            <a:ext uri="{FF2B5EF4-FFF2-40B4-BE49-F238E27FC236}">
              <a16:creationId xmlns:a16="http://schemas.microsoft.com/office/drawing/2014/main" id="{72D8B88E-FEAD-4D4F-9413-C39B53F7E43C}"/>
            </a:ext>
          </a:extLst>
        </xdr:cNvPr>
        <xdr:cNvSpPr txBox="1"/>
      </xdr:nvSpPr>
      <xdr:spPr>
        <a:xfrm>
          <a:off x="6981825" y="59055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AVERAGE</a:t>
          </a:r>
          <a:r>
            <a:rPr lang="en-US" sz="800" b="1" baseline="0"/>
            <a:t> PROFIT MARGIN</a:t>
          </a:r>
          <a:endParaRPr lang="en-US" sz="800" b="1"/>
        </a:p>
      </xdr:txBody>
    </xdr:sp>
    <xdr:clientData/>
  </xdr:twoCellAnchor>
  <xdr:twoCellAnchor>
    <xdr:from>
      <xdr:col>14</xdr:col>
      <xdr:colOff>9525</xdr:colOff>
      <xdr:row>1</xdr:row>
      <xdr:rowOff>104775</xdr:rowOff>
    </xdr:from>
    <xdr:to>
      <xdr:col>16</xdr:col>
      <xdr:colOff>457200</xdr:colOff>
      <xdr:row>3</xdr:row>
      <xdr:rowOff>28575</xdr:rowOff>
    </xdr:to>
    <xdr:sp macro="" textlink="">
      <xdr:nvSpPr>
        <xdr:cNvPr id="36" name="TextBox 35">
          <a:extLst>
            <a:ext uri="{FF2B5EF4-FFF2-40B4-BE49-F238E27FC236}">
              <a16:creationId xmlns:a16="http://schemas.microsoft.com/office/drawing/2014/main" id="{8322FFA2-F63D-4A6B-9DBB-F6D972886939}"/>
            </a:ext>
          </a:extLst>
        </xdr:cNvPr>
        <xdr:cNvSpPr txBox="1"/>
      </xdr:nvSpPr>
      <xdr:spPr>
        <a:xfrm>
          <a:off x="8905875" y="600075"/>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TOTAL UNITS SOLD</a:t>
          </a:r>
        </a:p>
      </xdr:txBody>
    </xdr:sp>
    <xdr:clientData/>
  </xdr:twoCellAnchor>
  <xdr:twoCellAnchor>
    <xdr:from>
      <xdr:col>17</xdr:col>
      <xdr:colOff>85725</xdr:colOff>
      <xdr:row>1</xdr:row>
      <xdr:rowOff>133350</xdr:rowOff>
    </xdr:from>
    <xdr:to>
      <xdr:col>18</xdr:col>
      <xdr:colOff>1143000</xdr:colOff>
      <xdr:row>3</xdr:row>
      <xdr:rowOff>57150</xdr:rowOff>
    </xdr:to>
    <xdr:sp macro="" textlink="">
      <xdr:nvSpPr>
        <xdr:cNvPr id="37" name="TextBox 36">
          <a:extLst>
            <a:ext uri="{FF2B5EF4-FFF2-40B4-BE49-F238E27FC236}">
              <a16:creationId xmlns:a16="http://schemas.microsoft.com/office/drawing/2014/main" id="{6B48A9E0-E754-4B5D-8791-5590D07C2913}"/>
            </a:ext>
          </a:extLst>
        </xdr:cNvPr>
        <xdr:cNvSpPr txBox="1"/>
      </xdr:nvSpPr>
      <xdr:spPr>
        <a:xfrm>
          <a:off x="10810875" y="62865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TOTAL DISCOUNTS</a:t>
          </a:r>
        </a:p>
      </xdr:txBody>
    </xdr:sp>
    <xdr:clientData/>
  </xdr:twoCellAnchor>
  <xdr:twoCellAnchor>
    <xdr:from>
      <xdr:col>13</xdr:col>
      <xdr:colOff>600075</xdr:colOff>
      <xdr:row>2</xdr:row>
      <xdr:rowOff>133350</xdr:rowOff>
    </xdr:from>
    <xdr:to>
      <xdr:col>16</xdr:col>
      <xdr:colOff>438150</xdr:colOff>
      <xdr:row>4</xdr:row>
      <xdr:rowOff>66675</xdr:rowOff>
    </xdr:to>
    <xdr:sp macro="" textlink="Analysis!O6">
      <xdr:nvSpPr>
        <xdr:cNvPr id="38" name="TextBox 37">
          <a:extLst>
            <a:ext uri="{FF2B5EF4-FFF2-40B4-BE49-F238E27FC236}">
              <a16:creationId xmlns:a16="http://schemas.microsoft.com/office/drawing/2014/main" id="{99EDDD71-2697-499A-9189-5885248B529E}"/>
            </a:ext>
          </a:extLst>
        </xdr:cNvPr>
        <xdr:cNvSpPr txBox="1"/>
      </xdr:nvSpPr>
      <xdr:spPr>
        <a:xfrm>
          <a:off x="8886825" y="80010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402BBA-DCDD-40FE-B13E-A8B3AA60F026}" type="TxLink">
            <a:rPr lang="en-US" sz="1300" b="1" i="0" u="none" strike="noStrike">
              <a:solidFill>
                <a:srgbClr val="000000"/>
              </a:solidFill>
              <a:latin typeface="Arial"/>
              <a:cs typeface="Arial"/>
            </a:rPr>
            <a:pPr algn="ctr"/>
            <a:t> 1,125,235 </a:t>
          </a:fld>
          <a:endParaRPr lang="en-US" sz="1300" b="1"/>
        </a:p>
      </xdr:txBody>
    </xdr:sp>
    <xdr:clientData/>
  </xdr:twoCellAnchor>
  <xdr:twoCellAnchor>
    <xdr:from>
      <xdr:col>17</xdr:col>
      <xdr:colOff>57150</xdr:colOff>
      <xdr:row>2</xdr:row>
      <xdr:rowOff>133350</xdr:rowOff>
    </xdr:from>
    <xdr:to>
      <xdr:col>18</xdr:col>
      <xdr:colOff>1114425</xdr:colOff>
      <xdr:row>4</xdr:row>
      <xdr:rowOff>66675</xdr:rowOff>
    </xdr:to>
    <xdr:sp macro="" textlink="Analysis!O7">
      <xdr:nvSpPr>
        <xdr:cNvPr id="39" name="TextBox 38">
          <a:extLst>
            <a:ext uri="{FF2B5EF4-FFF2-40B4-BE49-F238E27FC236}">
              <a16:creationId xmlns:a16="http://schemas.microsoft.com/office/drawing/2014/main" id="{25A0E5E9-7644-453D-906F-35281AE7253A}"/>
            </a:ext>
          </a:extLst>
        </xdr:cNvPr>
        <xdr:cNvSpPr txBox="1"/>
      </xdr:nvSpPr>
      <xdr:spPr>
        <a:xfrm>
          <a:off x="10782300" y="80010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5BD3EE-C510-466D-8891-ED7A361F5EB8}" type="TxLink">
            <a:rPr lang="en-US" sz="1300" b="1" i="0" u="none" strike="noStrike">
              <a:solidFill>
                <a:srgbClr val="000000"/>
              </a:solidFill>
              <a:latin typeface="Arial"/>
              <a:cs typeface="Arial"/>
            </a:rPr>
            <a:pPr algn="ctr"/>
            <a:t> 9,205,248 </a:t>
          </a:fld>
          <a:endParaRPr lang="en-US" sz="1300" b="1"/>
        </a:p>
      </xdr:txBody>
    </xdr:sp>
    <xdr:clientData/>
  </xdr:twoCellAnchor>
  <xdr:twoCellAnchor editAs="oneCell">
    <xdr:from>
      <xdr:col>7</xdr:col>
      <xdr:colOff>295275</xdr:colOff>
      <xdr:row>2</xdr:row>
      <xdr:rowOff>104775</xdr:rowOff>
    </xdr:from>
    <xdr:to>
      <xdr:col>8</xdr:col>
      <xdr:colOff>76200</xdr:colOff>
      <xdr:row>5</xdr:row>
      <xdr:rowOff>9525</xdr:rowOff>
    </xdr:to>
    <xdr:pic>
      <xdr:nvPicPr>
        <xdr:cNvPr id="41" name="Graphic 40" descr="Bar graph with upward trend with solid fill">
          <a:extLst>
            <a:ext uri="{FF2B5EF4-FFF2-40B4-BE49-F238E27FC236}">
              <a16:creationId xmlns:a16="http://schemas.microsoft.com/office/drawing/2014/main" id="{57A96E4A-6B9C-9373-1716-2E279D1BDC0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924425" y="771525"/>
          <a:ext cx="390525" cy="390525"/>
        </a:xfrm>
        <a:prstGeom prst="rect">
          <a:avLst/>
        </a:prstGeom>
      </xdr:spPr>
    </xdr:pic>
    <xdr:clientData/>
  </xdr:twoCellAnchor>
  <xdr:twoCellAnchor editAs="oneCell">
    <xdr:from>
      <xdr:col>13</xdr:col>
      <xdr:colOff>476250</xdr:colOff>
      <xdr:row>2</xdr:row>
      <xdr:rowOff>123825</xdr:rowOff>
    </xdr:from>
    <xdr:to>
      <xdr:col>14</xdr:col>
      <xdr:colOff>257175</xdr:colOff>
      <xdr:row>5</xdr:row>
      <xdr:rowOff>28575</xdr:rowOff>
    </xdr:to>
    <xdr:pic>
      <xdr:nvPicPr>
        <xdr:cNvPr id="62" name="Graphic 61" descr="Bullseye with solid fill">
          <a:extLst>
            <a:ext uri="{FF2B5EF4-FFF2-40B4-BE49-F238E27FC236}">
              <a16:creationId xmlns:a16="http://schemas.microsoft.com/office/drawing/2014/main" id="{AB29786C-DEE7-6C07-4DCE-00C38830B25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763000" y="790575"/>
          <a:ext cx="390525" cy="390525"/>
        </a:xfrm>
        <a:prstGeom prst="rect">
          <a:avLst/>
        </a:prstGeom>
      </xdr:spPr>
    </xdr:pic>
    <xdr:clientData/>
  </xdr:twoCellAnchor>
  <xdr:twoCellAnchor editAs="oneCell">
    <xdr:from>
      <xdr:col>10</xdr:col>
      <xdr:colOff>390526</xdr:colOff>
      <xdr:row>2</xdr:row>
      <xdr:rowOff>95251</xdr:rowOff>
    </xdr:from>
    <xdr:to>
      <xdr:col>11</xdr:col>
      <xdr:colOff>152400</xdr:colOff>
      <xdr:row>4</xdr:row>
      <xdr:rowOff>142875</xdr:rowOff>
    </xdr:to>
    <xdr:pic>
      <xdr:nvPicPr>
        <xdr:cNvPr id="66" name="Graphic 65" descr="Scales of justice with solid fill">
          <a:extLst>
            <a:ext uri="{FF2B5EF4-FFF2-40B4-BE49-F238E27FC236}">
              <a16:creationId xmlns:a16="http://schemas.microsoft.com/office/drawing/2014/main" id="{BFD59B4F-D782-87A0-74ED-29F36834D07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848476" y="762001"/>
          <a:ext cx="371474" cy="371474"/>
        </a:xfrm>
        <a:prstGeom prst="rect">
          <a:avLst/>
        </a:prstGeom>
      </xdr:spPr>
    </xdr:pic>
    <xdr:clientData/>
  </xdr:twoCellAnchor>
  <xdr:twoCellAnchor editAs="oneCell">
    <xdr:from>
      <xdr:col>16</xdr:col>
      <xdr:colOff>523875</xdr:colOff>
      <xdr:row>2</xdr:row>
      <xdr:rowOff>47625</xdr:rowOff>
    </xdr:from>
    <xdr:to>
      <xdr:col>17</xdr:col>
      <xdr:colOff>390525</xdr:colOff>
      <xdr:row>5</xdr:row>
      <xdr:rowOff>38100</xdr:rowOff>
    </xdr:to>
    <xdr:pic>
      <xdr:nvPicPr>
        <xdr:cNvPr id="68" name="Graphic 67" descr="Gears with solid fill">
          <a:extLst>
            <a:ext uri="{FF2B5EF4-FFF2-40B4-BE49-F238E27FC236}">
              <a16:creationId xmlns:a16="http://schemas.microsoft.com/office/drawing/2014/main" id="{89D44D56-C23F-3469-7F52-C0F20380C47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639425" y="714375"/>
          <a:ext cx="476250" cy="476250"/>
        </a:xfrm>
        <a:prstGeom prst="rect">
          <a:avLst/>
        </a:prstGeom>
      </xdr:spPr>
    </xdr:pic>
    <xdr:clientData/>
  </xdr:twoCellAnchor>
  <xdr:twoCellAnchor>
    <xdr:from>
      <xdr:col>10</xdr:col>
      <xdr:colOff>504825</xdr:colOff>
      <xdr:row>2</xdr:row>
      <xdr:rowOff>133350</xdr:rowOff>
    </xdr:from>
    <xdr:to>
      <xdr:col>13</xdr:col>
      <xdr:colOff>342900</xdr:colOff>
      <xdr:row>4</xdr:row>
      <xdr:rowOff>66675</xdr:rowOff>
    </xdr:to>
    <xdr:sp macro="" textlink="Analysis!O5">
      <xdr:nvSpPr>
        <xdr:cNvPr id="69" name="TextBox 68">
          <a:extLst>
            <a:ext uri="{FF2B5EF4-FFF2-40B4-BE49-F238E27FC236}">
              <a16:creationId xmlns:a16="http://schemas.microsoft.com/office/drawing/2014/main" id="{9016FBB5-085A-4857-9288-C8AACD8DDC2E}"/>
            </a:ext>
          </a:extLst>
        </xdr:cNvPr>
        <xdr:cNvSpPr txBox="1"/>
      </xdr:nvSpPr>
      <xdr:spPr>
        <a:xfrm>
          <a:off x="6962775" y="800100"/>
          <a:ext cx="1666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70592D-3799-4261-8747-96209AA03D41}" type="TxLink">
            <a:rPr lang="en-US" sz="1300" b="1" i="0" u="none" strike="noStrike">
              <a:solidFill>
                <a:srgbClr val="000000"/>
              </a:solidFill>
              <a:latin typeface="Arial"/>
              <a:cs typeface="Arial"/>
            </a:rPr>
            <a:pPr algn="ctr"/>
            <a:t>28.0%</a:t>
          </a:fld>
          <a:endParaRPr lang="en-US" sz="1300" b="1"/>
        </a:p>
      </xdr:txBody>
    </xdr:sp>
    <xdr:clientData/>
  </xdr:twoCellAnchor>
  <xdr:twoCellAnchor>
    <xdr:from>
      <xdr:col>1</xdr:col>
      <xdr:colOff>47625</xdr:colOff>
      <xdr:row>6</xdr:row>
      <xdr:rowOff>133351</xdr:rowOff>
    </xdr:from>
    <xdr:to>
      <xdr:col>7</xdr:col>
      <xdr:colOff>171449</xdr:colOff>
      <xdr:row>21</xdr:row>
      <xdr:rowOff>133350</xdr:rowOff>
    </xdr:to>
    <xdr:graphicFrame macro="">
      <xdr:nvGraphicFramePr>
        <xdr:cNvPr id="70" name="Chart 69">
          <a:extLst>
            <a:ext uri="{FF2B5EF4-FFF2-40B4-BE49-F238E27FC236}">
              <a16:creationId xmlns:a16="http://schemas.microsoft.com/office/drawing/2014/main" id="{8407BD64-069B-4400-9F84-2818E61E9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257175</xdr:colOff>
      <xdr:row>6</xdr:row>
      <xdr:rowOff>142875</xdr:rowOff>
    </xdr:from>
    <xdr:to>
      <xdr:col>13</xdr:col>
      <xdr:colOff>440055</xdr:colOff>
      <xdr:row>21</xdr:row>
      <xdr:rowOff>142875</xdr:rowOff>
    </xdr:to>
    <xdr:graphicFrame macro="">
      <xdr:nvGraphicFramePr>
        <xdr:cNvPr id="71" name="Chart 70">
          <a:extLst>
            <a:ext uri="{FF2B5EF4-FFF2-40B4-BE49-F238E27FC236}">
              <a16:creationId xmlns:a16="http://schemas.microsoft.com/office/drawing/2014/main" id="{83FBCA68-577F-4922-BE71-71D47BB6E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533400</xdr:colOff>
      <xdr:row>6</xdr:row>
      <xdr:rowOff>152400</xdr:rowOff>
    </xdr:from>
    <xdr:to>
      <xdr:col>18</xdr:col>
      <xdr:colOff>1104899</xdr:colOff>
      <xdr:row>21</xdr:row>
      <xdr:rowOff>142875</xdr:rowOff>
    </xdr:to>
    <xdr:graphicFrame macro="">
      <xdr:nvGraphicFramePr>
        <xdr:cNvPr id="72" name="Chart 71">
          <a:extLst>
            <a:ext uri="{FF2B5EF4-FFF2-40B4-BE49-F238E27FC236}">
              <a16:creationId xmlns:a16="http://schemas.microsoft.com/office/drawing/2014/main" id="{25E34113-2757-4ABA-BE3A-720864CDF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38100</xdr:colOff>
      <xdr:row>22</xdr:row>
      <xdr:rowOff>76200</xdr:rowOff>
    </xdr:from>
    <xdr:to>
      <xdr:col>18</xdr:col>
      <xdr:colOff>1057274</xdr:colOff>
      <xdr:row>33</xdr:row>
      <xdr:rowOff>47625</xdr:rowOff>
    </xdr:to>
    <xdr:graphicFrame macro="">
      <xdr:nvGraphicFramePr>
        <xdr:cNvPr id="73" name="Chart 72">
          <a:extLst>
            <a:ext uri="{FF2B5EF4-FFF2-40B4-BE49-F238E27FC236}">
              <a16:creationId xmlns:a16="http://schemas.microsoft.com/office/drawing/2014/main" id="{802571F6-4BDD-45F3-80AE-F8B49779B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9524</xdr:colOff>
      <xdr:row>1</xdr:row>
      <xdr:rowOff>66674</xdr:rowOff>
    </xdr:from>
    <xdr:to>
      <xdr:col>0</xdr:col>
      <xdr:colOff>952500</xdr:colOff>
      <xdr:row>3</xdr:row>
      <xdr:rowOff>9524</xdr:rowOff>
    </xdr:to>
    <xdr:sp macro="" textlink="">
      <xdr:nvSpPr>
        <xdr:cNvPr id="80" name="Rectangle: Rounded Corners 79">
          <a:extLst>
            <a:ext uri="{FF2B5EF4-FFF2-40B4-BE49-F238E27FC236}">
              <a16:creationId xmlns:a16="http://schemas.microsoft.com/office/drawing/2014/main" id="{0737BB7E-E1E7-1C49-3795-1AF945E75136}"/>
            </a:ext>
          </a:extLst>
        </xdr:cNvPr>
        <xdr:cNvSpPr/>
      </xdr:nvSpPr>
      <xdr:spPr>
        <a:xfrm>
          <a:off x="9524" y="561974"/>
          <a:ext cx="942976" cy="276225"/>
        </a:xfrm>
        <a:prstGeom prst="roundRect">
          <a:avLst>
            <a:gd name="adj" fmla="val 24138"/>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133350</xdr:colOff>
      <xdr:row>1</xdr:row>
      <xdr:rowOff>123826</xdr:rowOff>
    </xdr:from>
    <xdr:to>
      <xdr:col>0</xdr:col>
      <xdr:colOff>295275</xdr:colOff>
      <xdr:row>2</xdr:row>
      <xdr:rowOff>108304</xdr:rowOff>
    </xdr:to>
    <xdr:pic>
      <xdr:nvPicPr>
        <xdr:cNvPr id="79" name="Picture 78" descr="Filter - Free icons">
          <a:extLst>
            <a:ext uri="{FF2B5EF4-FFF2-40B4-BE49-F238E27FC236}">
              <a16:creationId xmlns:a16="http://schemas.microsoft.com/office/drawing/2014/main" id="{F6B68AFA-8042-4671-AF64-8F61A1BF4B51}"/>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33350" y="619126"/>
          <a:ext cx="161925" cy="155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9525</xdr:colOff>
      <xdr:row>1</xdr:row>
      <xdr:rowOff>76201</xdr:rowOff>
    </xdr:from>
    <xdr:to>
      <xdr:col>0</xdr:col>
      <xdr:colOff>904875</xdr:colOff>
      <xdr:row>2</xdr:row>
      <xdr:rowOff>123825</xdr:rowOff>
    </xdr:to>
    <xdr:sp macro="" textlink="">
      <xdr:nvSpPr>
        <xdr:cNvPr id="78" name="TextBox 77">
          <a:extLst>
            <a:ext uri="{FF2B5EF4-FFF2-40B4-BE49-F238E27FC236}">
              <a16:creationId xmlns:a16="http://schemas.microsoft.com/office/drawing/2014/main" id="{7069294C-ADD3-6977-1C1E-3797F7666A53}"/>
            </a:ext>
          </a:extLst>
        </xdr:cNvPr>
        <xdr:cNvSpPr txBox="1"/>
      </xdr:nvSpPr>
      <xdr:spPr>
        <a:xfrm>
          <a:off x="9525" y="571501"/>
          <a:ext cx="895350"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r"/>
          <a:r>
            <a:rPr lang="en-US" sz="900" b="1">
              <a:solidFill>
                <a:schemeClr val="bg1"/>
              </a:solidFill>
            </a:rPr>
            <a:t>FILTER</a:t>
          </a:r>
        </a:p>
      </xdr:txBody>
    </xdr:sp>
    <xdr:clientData/>
  </xdr:twoCellAnchor>
  <xdr:twoCellAnchor>
    <xdr:from>
      <xdr:col>0</xdr:col>
      <xdr:colOff>0</xdr:colOff>
      <xdr:row>3</xdr:row>
      <xdr:rowOff>57150</xdr:rowOff>
    </xdr:from>
    <xdr:to>
      <xdr:col>1</xdr:col>
      <xdr:colOff>28575</xdr:colOff>
      <xdr:row>33</xdr:row>
      <xdr:rowOff>57150</xdr:rowOff>
    </xdr:to>
    <xdr:grpSp>
      <xdr:nvGrpSpPr>
        <xdr:cNvPr id="9" name="Group 8">
          <a:extLst>
            <a:ext uri="{FF2B5EF4-FFF2-40B4-BE49-F238E27FC236}">
              <a16:creationId xmlns:a16="http://schemas.microsoft.com/office/drawing/2014/main" id="{DD87B47F-1828-662C-3335-7022E43B82A2}"/>
            </a:ext>
          </a:extLst>
        </xdr:cNvPr>
        <xdr:cNvGrpSpPr/>
      </xdr:nvGrpSpPr>
      <xdr:grpSpPr>
        <a:xfrm>
          <a:off x="0" y="885825"/>
          <a:ext cx="1000125" cy="4857750"/>
          <a:chOff x="0" y="885825"/>
          <a:chExt cx="1000125" cy="4857750"/>
        </a:xfrm>
      </xdr:grpSpPr>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C92D01D-0AC7-4410-9C66-BBCAB1F2F810}"/>
                  </a:ext>
                </a:extLst>
              </xdr:cNvPr>
              <xdr:cNvGraphicFramePr/>
            </xdr:nvGraphicFramePr>
            <xdr:xfrm>
              <a:off x="19050" y="885825"/>
              <a:ext cx="971550" cy="89535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050" y="885825"/>
                <a:ext cx="97155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A14219F1-126B-4F1C-A5FD-5E7B3FD66573}"/>
                  </a:ext>
                </a:extLst>
              </xdr:cNvPr>
              <xdr:cNvGraphicFramePr/>
            </xdr:nvGraphicFramePr>
            <xdr:xfrm>
              <a:off x="19050" y="1809750"/>
              <a:ext cx="981075" cy="163830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9050" y="1809750"/>
                <a:ext cx="981075"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Product 2">
                <a:extLst>
                  <a:ext uri="{FF2B5EF4-FFF2-40B4-BE49-F238E27FC236}">
                    <a16:creationId xmlns:a16="http://schemas.microsoft.com/office/drawing/2014/main" id="{E8740F6A-595E-4CBB-B869-A327DFA9548E}"/>
                  </a:ext>
                </a:extLst>
              </xdr:cNvPr>
              <xdr:cNvGraphicFramePr/>
            </xdr:nvGraphicFramePr>
            <xdr:xfrm>
              <a:off x="0" y="3486149"/>
              <a:ext cx="971550" cy="1123951"/>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0" y="3486149"/>
                <a:ext cx="971550" cy="1123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Segment (Clean) 1">
                <a:extLst>
                  <a:ext uri="{FF2B5EF4-FFF2-40B4-BE49-F238E27FC236}">
                    <a16:creationId xmlns:a16="http://schemas.microsoft.com/office/drawing/2014/main" id="{B2C0AB22-4DB0-43A3-8CD8-7106032C476E}"/>
                  </a:ext>
                </a:extLst>
              </xdr:cNvPr>
              <xdr:cNvGraphicFramePr/>
            </xdr:nvGraphicFramePr>
            <xdr:xfrm>
              <a:off x="0" y="4629150"/>
              <a:ext cx="981075" cy="1114425"/>
            </xdr:xfrm>
            <a:graphic>
              <a:graphicData uri="http://schemas.microsoft.com/office/drawing/2010/slicer">
                <sle:slicer xmlns:sle="http://schemas.microsoft.com/office/drawing/2010/slicer" name="Segment (Clean) 1"/>
              </a:graphicData>
            </a:graphic>
          </xdr:graphicFrame>
        </mc:Choice>
        <mc:Fallback xmlns="">
          <xdr:sp macro="" textlink="">
            <xdr:nvSpPr>
              <xdr:cNvPr id="0" name=""/>
              <xdr:cNvSpPr>
                <a:spLocks noTextEdit="1"/>
              </xdr:cNvSpPr>
            </xdr:nvSpPr>
            <xdr:spPr>
              <a:xfrm>
                <a:off x="0" y="4629150"/>
                <a:ext cx="981075"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123824</xdr:colOff>
      <xdr:row>14</xdr:row>
      <xdr:rowOff>133350</xdr:rowOff>
    </xdr:to>
    <xdr:graphicFrame macro="">
      <xdr:nvGraphicFramePr>
        <xdr:cNvPr id="11" name="Chart 10">
          <a:extLst>
            <a:ext uri="{FF2B5EF4-FFF2-40B4-BE49-F238E27FC236}">
              <a16:creationId xmlns:a16="http://schemas.microsoft.com/office/drawing/2014/main" id="{7DD2DA5D-C32A-4751-9062-A13AECBA2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180975</xdr:colOff>
      <xdr:row>1</xdr:row>
      <xdr:rowOff>28575</xdr:rowOff>
    </xdr:from>
    <xdr:to>
      <xdr:col>12</xdr:col>
      <xdr:colOff>363855</xdr:colOff>
      <xdr:row>15</xdr:row>
      <xdr:rowOff>28575</xdr:rowOff>
    </xdr:to>
    <xdr:graphicFrame macro="">
      <xdr:nvGraphicFramePr>
        <xdr:cNvPr id="12" name="Chart 11">
          <a:extLst>
            <a:ext uri="{FF2B5EF4-FFF2-40B4-BE49-F238E27FC236}">
              <a16:creationId xmlns:a16="http://schemas.microsoft.com/office/drawing/2014/main" id="{CA49FA95-5C5E-4A1A-93AF-A08B65CF0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495301</xdr:colOff>
      <xdr:row>0</xdr:row>
      <xdr:rowOff>133350</xdr:rowOff>
    </xdr:from>
    <xdr:to>
      <xdr:col>18</xdr:col>
      <xdr:colOff>457200</xdr:colOff>
      <xdr:row>14</xdr:row>
      <xdr:rowOff>152400</xdr:rowOff>
    </xdr:to>
    <xdr:graphicFrame macro="">
      <xdr:nvGraphicFramePr>
        <xdr:cNvPr id="2" name="Chart 1">
          <a:extLst>
            <a:ext uri="{FF2B5EF4-FFF2-40B4-BE49-F238E27FC236}">
              <a16:creationId xmlns:a16="http://schemas.microsoft.com/office/drawing/2014/main" id="{7C13557F-20A6-4A04-8061-53D282C5F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523875</xdr:colOff>
      <xdr:row>16</xdr:row>
      <xdr:rowOff>9525</xdr:rowOff>
    </xdr:from>
    <xdr:to>
      <xdr:col>17</xdr:col>
      <xdr:colOff>276225</xdr:colOff>
      <xdr:row>26</xdr:row>
      <xdr:rowOff>1</xdr:rowOff>
    </xdr:to>
    <xdr:graphicFrame macro="">
      <xdr:nvGraphicFramePr>
        <xdr:cNvPr id="3" name="Chart 2">
          <a:extLst>
            <a:ext uri="{FF2B5EF4-FFF2-40B4-BE49-F238E27FC236}">
              <a16:creationId xmlns:a16="http://schemas.microsoft.com/office/drawing/2014/main" id="{37AB1892-C996-4E35-9DBC-E1646D401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1</xdr:row>
      <xdr:rowOff>95249</xdr:rowOff>
    </xdr:from>
    <xdr:to>
      <xdr:col>3</xdr:col>
      <xdr:colOff>38100</xdr:colOff>
      <xdr:row>14</xdr:row>
      <xdr:rowOff>123825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D6515C27-C4D6-4D9F-B160-96D6E067FA8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4300" y="257174"/>
              <a:ext cx="1752600" cy="2133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485775</xdr:colOff>
      <xdr:row>1</xdr:row>
      <xdr:rowOff>114300</xdr:rowOff>
    </xdr:from>
    <xdr:to>
      <xdr:col>6</xdr:col>
      <xdr:colOff>438150</xdr:colOff>
      <xdr:row>14</xdr:row>
      <xdr:rowOff>95250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A0BBC058-F8E6-41A8-BBAF-C92AFF93A86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14575" y="276225"/>
              <a:ext cx="1781175"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228599</xdr:colOff>
      <xdr:row>1</xdr:row>
      <xdr:rowOff>133349</xdr:rowOff>
    </xdr:from>
    <xdr:to>
      <xdr:col>9</xdr:col>
      <xdr:colOff>257174</xdr:colOff>
      <xdr:row>14</xdr:row>
      <xdr:rowOff>38099</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C22751BA-57A9-45C3-AE23-2AE9B260BEC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495799" y="295274"/>
              <a:ext cx="1247775"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xdr:colOff>
      <xdr:row>2</xdr:row>
      <xdr:rowOff>0</xdr:rowOff>
    </xdr:from>
    <xdr:to>
      <xdr:col>11</xdr:col>
      <xdr:colOff>571501</xdr:colOff>
      <xdr:row>13</xdr:row>
      <xdr:rowOff>38100</xdr:rowOff>
    </xdr:to>
    <mc:AlternateContent xmlns:mc="http://schemas.openxmlformats.org/markup-compatibility/2006" xmlns:a14="http://schemas.microsoft.com/office/drawing/2010/main">
      <mc:Choice Requires="a14">
        <xdr:graphicFrame macro="">
          <xdr:nvGraphicFramePr>
            <xdr:cNvPr id="7" name="Segment (Clean)">
              <a:extLst>
                <a:ext uri="{FF2B5EF4-FFF2-40B4-BE49-F238E27FC236}">
                  <a16:creationId xmlns:a16="http://schemas.microsoft.com/office/drawing/2014/main" id="{67D6D91A-71C0-47EC-B9E5-5C29EBEDA9C9}"/>
                </a:ext>
              </a:extLst>
            </xdr:cNvPr>
            <xdr:cNvGraphicFramePr/>
          </xdr:nvGraphicFramePr>
          <xdr:xfrm>
            <a:off x="0" y="0"/>
            <a:ext cx="0" cy="0"/>
          </xdr:xfrm>
          <a:graphic>
            <a:graphicData uri="http://schemas.microsoft.com/office/drawing/2010/slicer">
              <sle:slicer xmlns:sle="http://schemas.microsoft.com/office/drawing/2010/slicer" name="Segment (Clean)"/>
            </a:graphicData>
          </a:graphic>
        </xdr:graphicFrame>
      </mc:Choice>
      <mc:Fallback xmlns="">
        <xdr:sp macro="" textlink="">
          <xdr:nvSpPr>
            <xdr:cNvPr id="0" name=""/>
            <xdr:cNvSpPr>
              <a:spLocks noTextEdit="1"/>
            </xdr:cNvSpPr>
          </xdr:nvSpPr>
          <xdr:spPr>
            <a:xfrm>
              <a:off x="6096001" y="323850"/>
              <a:ext cx="118110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3.023101620369" createdVersion="8" refreshedVersion="8" minRefreshableVersion="3" recordCount="700" xr:uid="{00139FCA-64CE-4B94-9400-5D12645E58E2}">
  <cacheSource type="worksheet">
    <worksheetSource name="Table1"/>
  </cacheSource>
  <cacheFields count="19">
    <cacheField name="segment" numFmtId="0">
      <sharedItems/>
    </cacheField>
    <cacheField name="Segment (Clean)" numFmtId="0">
      <sharedItems count="5">
        <s v="Government"/>
        <s v="Midmarket"/>
        <s v="Channel Partners"/>
        <s v="Enterprise"/>
        <s v="Small Business"/>
      </sharedItems>
    </cacheField>
    <cacheField name="Country" numFmtId="0">
      <sharedItems count="5">
        <s v="Canada"/>
        <s v="Germany"/>
        <s v="France"/>
        <s v="Mexico"/>
        <s v="USA"/>
      </sharedItems>
    </cacheField>
    <cacheField name="Country (Clean)" numFmtId="0">
      <sharedItems/>
    </cacheField>
    <cacheField name="Product" numFmtId="44">
      <sharedItems count="6">
        <s v="Carretera"/>
        <s v="Montana"/>
        <s v="Paseo"/>
        <s v="Velo"/>
        <s v="VTT"/>
        <s v="Amarilla"/>
      </sharedItems>
    </cacheField>
    <cacheField name="Discount Band" numFmtId="44">
      <sharedItems/>
    </cacheField>
    <cacheField name="Units Sold" numFmtId="43">
      <sharedItems containsSemiMixedTypes="0" containsString="0" containsNumber="1" minValue="200" maxValue="4492.5"/>
    </cacheField>
    <cacheField name="Manufacturing Price" numFmtId="164">
      <sharedItems containsSemiMixedTypes="0" containsString="0" containsNumber="1" minValue="3" maxValue="260"/>
    </cacheField>
    <cacheField name="Sale Price" numFmtId="164">
      <sharedItems containsSemiMixedTypes="0" containsString="0" containsNumb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Profit Margin" numFmtId="9">
      <sharedItems containsSemiMixedTypes="0" containsString="0" containsNumber="1" minValue="-0.12941176470588237" maxValue="0.91587510410003259"/>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ount="12">
        <s v="January"/>
        <s v="June"/>
        <s v="December"/>
        <s v="March"/>
        <s v="July"/>
        <s v="August"/>
        <s v="September"/>
        <s v="October"/>
        <s v="February"/>
        <s v="November"/>
        <s v="April"/>
        <s v="May"/>
      </sharedItems>
    </cacheField>
    <cacheField name="Year" numFmtId="49">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517406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s v="Canada"/>
    <x v="0"/>
    <s v="None"/>
    <n v="1618.5"/>
    <n v="3"/>
    <n v="20"/>
    <n v="32370"/>
    <n v="0"/>
    <n v="32370"/>
    <n v="16185"/>
    <n v="16185"/>
    <n v="0.5"/>
    <d v="2014-01-01T00:00:00"/>
    <n v="1"/>
    <x v="0"/>
    <x v="0"/>
  </r>
  <r>
    <s v="Government"/>
    <x v="0"/>
    <x v="1"/>
    <s v="Germany"/>
    <x v="0"/>
    <s v="None"/>
    <n v="1321"/>
    <n v="3"/>
    <n v="20"/>
    <n v="26420"/>
    <n v="0"/>
    <n v="26420"/>
    <n v="13210"/>
    <n v="13210"/>
    <n v="0.5"/>
    <d v="2014-01-01T00:00:00"/>
    <n v="1"/>
    <x v="0"/>
    <x v="0"/>
  </r>
  <r>
    <s v="Midmarket"/>
    <x v="1"/>
    <x v="2"/>
    <s v="France"/>
    <x v="0"/>
    <s v="None"/>
    <n v="2178"/>
    <n v="3"/>
    <n v="15"/>
    <n v="32670"/>
    <n v="0"/>
    <n v="32670"/>
    <n v="21780"/>
    <n v="10890"/>
    <n v="0.33333333333333331"/>
    <d v="2014-06-01T00:00:00"/>
    <n v="6"/>
    <x v="1"/>
    <x v="0"/>
  </r>
  <r>
    <s v="Midmarket"/>
    <x v="1"/>
    <x v="1"/>
    <s v="Germany"/>
    <x v="0"/>
    <s v="None"/>
    <n v="888"/>
    <n v="3"/>
    <n v="15"/>
    <n v="13320"/>
    <n v="0"/>
    <n v="13320"/>
    <n v="8880"/>
    <n v="4440"/>
    <n v="0.33333333333333331"/>
    <d v="2014-06-01T00:00:00"/>
    <n v="6"/>
    <x v="1"/>
    <x v="0"/>
  </r>
  <r>
    <s v="Midmarket"/>
    <x v="1"/>
    <x v="3"/>
    <s v="Mexico"/>
    <x v="0"/>
    <s v="None"/>
    <n v="2470"/>
    <n v="3"/>
    <n v="15"/>
    <n v="37050"/>
    <n v="0"/>
    <n v="37050"/>
    <n v="24700"/>
    <n v="12350"/>
    <n v="0.33333333333333331"/>
    <d v="2014-06-01T00:00:00"/>
    <n v="6"/>
    <x v="1"/>
    <x v="0"/>
  </r>
  <r>
    <s v="Government"/>
    <x v="0"/>
    <x v="1"/>
    <s v="Germany"/>
    <x v="0"/>
    <s v="None"/>
    <n v="1513"/>
    <n v="3"/>
    <n v="350"/>
    <n v="529550"/>
    <n v="0"/>
    <n v="529550"/>
    <n v="393380"/>
    <n v="136170"/>
    <n v="0.25714285714285712"/>
    <d v="2014-12-01T00:00:00"/>
    <n v="12"/>
    <x v="2"/>
    <x v="0"/>
  </r>
  <r>
    <s v="Midmarket"/>
    <x v="1"/>
    <x v="1"/>
    <s v="Germany"/>
    <x v="1"/>
    <s v="None"/>
    <n v="921"/>
    <n v="5"/>
    <n v="15"/>
    <n v="13815"/>
    <n v="0"/>
    <n v="13815"/>
    <n v="9210"/>
    <n v="4605"/>
    <n v="0.33333333333333331"/>
    <d v="2014-03-01T00:00:00"/>
    <n v="3"/>
    <x v="3"/>
    <x v="0"/>
  </r>
  <r>
    <s v="Channel Partners"/>
    <x v="2"/>
    <x v="0"/>
    <s v="Canada"/>
    <x v="1"/>
    <s v="None"/>
    <n v="2518"/>
    <n v="5"/>
    <n v="12"/>
    <n v="30216"/>
    <n v="0"/>
    <n v="30216"/>
    <n v="7554"/>
    <n v="22662"/>
    <n v="0.75"/>
    <d v="2014-06-01T00:00:00"/>
    <n v="6"/>
    <x v="1"/>
    <x v="0"/>
  </r>
  <r>
    <s v="Government"/>
    <x v="0"/>
    <x v="2"/>
    <s v="France"/>
    <x v="1"/>
    <s v="None"/>
    <n v="1899"/>
    <n v="5"/>
    <n v="20"/>
    <n v="37980"/>
    <n v="0"/>
    <n v="37980"/>
    <n v="18990"/>
    <n v="18990"/>
    <n v="0.5"/>
    <d v="2014-06-01T00:00:00"/>
    <n v="6"/>
    <x v="1"/>
    <x v="0"/>
  </r>
  <r>
    <s v="Channel Partners"/>
    <x v="2"/>
    <x v="2"/>
    <s v="France"/>
    <x v="1"/>
    <s v="None"/>
    <n v="1545"/>
    <n v="5"/>
    <n v="118.87087517934003"/>
    <n v="183655.50215208036"/>
    <n v="0"/>
    <n v="183655.50215208036"/>
    <n v="145676.69957081546"/>
    <n v="37978.802581264899"/>
    <n v="0.20679370961516655"/>
    <d v="2014-06-01T00:00:00"/>
    <n v="6"/>
    <x v="1"/>
    <x v="0"/>
  </r>
  <r>
    <s v="Midmarket"/>
    <x v="1"/>
    <x v="3"/>
    <s v="Mexico"/>
    <x v="1"/>
    <s v="None"/>
    <n v="2470"/>
    <n v="5"/>
    <n v="15"/>
    <n v="37050"/>
    <n v="0"/>
    <n v="37050"/>
    <n v="24700"/>
    <n v="12350"/>
    <n v="0.33333333333333331"/>
    <d v="2014-06-01T00:00:00"/>
    <n v="6"/>
    <x v="1"/>
    <x v="0"/>
  </r>
  <r>
    <s v="Enterprise"/>
    <x v="3"/>
    <x v="0"/>
    <s v="Canada"/>
    <x v="1"/>
    <s v="None"/>
    <n v="2665.5"/>
    <n v="5"/>
    <n v="125"/>
    <n v="333187.5"/>
    <n v="0"/>
    <n v="333187.5"/>
    <n v="319860"/>
    <n v="13327.5"/>
    <n v="0.04"/>
    <d v="2014-07-01T00:00:00"/>
    <n v="7"/>
    <x v="4"/>
    <x v="0"/>
  </r>
  <r>
    <s v="small business"/>
    <x v="4"/>
    <x v="3"/>
    <s v="Mexico"/>
    <x v="1"/>
    <s v="None"/>
    <n v="958"/>
    <n v="5"/>
    <n v="300"/>
    <n v="287400"/>
    <n v="0"/>
    <n v="287400"/>
    <n v="239500"/>
    <n v="47900"/>
    <n v="0.16666666666666666"/>
    <d v="2014-08-01T00:00:00"/>
    <n v="8"/>
    <x v="5"/>
    <x v="0"/>
  </r>
  <r>
    <s v="Government"/>
    <x v="0"/>
    <x v="1"/>
    <s v="Germany"/>
    <x v="1"/>
    <s v="None"/>
    <n v="2146"/>
    <n v="5"/>
    <n v="7"/>
    <n v="15022"/>
    <n v="0"/>
    <n v="15022"/>
    <n v="10730"/>
    <n v="4292"/>
    <n v="0.2857142857142857"/>
    <d v="2014-09-01T00:00:00"/>
    <n v="9"/>
    <x v="6"/>
    <x v="0"/>
  </r>
  <r>
    <s v="Enterprise"/>
    <x v="3"/>
    <x v="0"/>
    <s v="Canada"/>
    <x v="1"/>
    <s v="None"/>
    <n v="345"/>
    <n v="5"/>
    <n v="125"/>
    <n v="43125"/>
    <n v="0"/>
    <n v="43125"/>
    <n v="41400"/>
    <n v="1725"/>
    <n v="0.04"/>
    <d v="2013-10-01T00:00:00"/>
    <n v="10"/>
    <x v="7"/>
    <x v="1"/>
  </r>
  <r>
    <s v="Midmarket"/>
    <x v="1"/>
    <x v="4"/>
    <s v="Usa"/>
    <x v="1"/>
    <s v="None"/>
    <n v="615"/>
    <n v="5"/>
    <n v="15"/>
    <n v="9225"/>
    <n v="0"/>
    <n v="9225"/>
    <n v="6150"/>
    <n v="3075"/>
    <n v="0.33333333333333331"/>
    <d v="2014-12-01T00:00:00"/>
    <n v="12"/>
    <x v="2"/>
    <x v="0"/>
  </r>
  <r>
    <s v="Government"/>
    <x v="0"/>
    <x v="0"/>
    <s v="Canada"/>
    <x v="2"/>
    <s v="None"/>
    <n v="292"/>
    <n v="10"/>
    <n v="118.87087517934003"/>
    <n v="34710.295552367286"/>
    <n v="0"/>
    <n v="34710.295552367286"/>
    <n v="2920"/>
    <n v="31790.295552367286"/>
    <n v="0.91587510410003259"/>
    <d v="2014-02-01T00:00:00"/>
    <n v="2"/>
    <x v="8"/>
    <x v="0"/>
  </r>
  <r>
    <s v="Midmarket"/>
    <x v="1"/>
    <x v="3"/>
    <s v="Mexico"/>
    <x v="2"/>
    <s v="None"/>
    <n v="974"/>
    <n v="10"/>
    <n v="15"/>
    <n v="14610"/>
    <n v="0"/>
    <n v="14610"/>
    <n v="9740"/>
    <n v="4870"/>
    <n v="0.33333333333333331"/>
    <d v="2014-02-01T00:00:00"/>
    <n v="2"/>
    <x v="8"/>
    <x v="0"/>
  </r>
  <r>
    <s v="Channel Partners"/>
    <x v="2"/>
    <x v="0"/>
    <s v="Canada"/>
    <x v="2"/>
    <s v="None"/>
    <n v="2518"/>
    <n v="10"/>
    <n v="12"/>
    <n v="30216"/>
    <n v="0"/>
    <n v="30216"/>
    <n v="7554"/>
    <n v="22662"/>
    <n v="0.75"/>
    <d v="2014-06-01T00:00:00"/>
    <n v="6"/>
    <x v="1"/>
    <x v="0"/>
  </r>
  <r>
    <s v="Government"/>
    <x v="0"/>
    <x v="1"/>
    <s v="Germany"/>
    <x v="2"/>
    <s v="None"/>
    <n v="1006"/>
    <n v="10"/>
    <n v="350"/>
    <n v="352100"/>
    <n v="0"/>
    <n v="352100"/>
    <n v="261560"/>
    <n v="90540"/>
    <n v="0.25714285714285712"/>
    <d v="2014-06-01T00:00:00"/>
    <n v="6"/>
    <x v="1"/>
    <x v="0"/>
  </r>
  <r>
    <s v="Channel Partners"/>
    <x v="2"/>
    <x v="1"/>
    <s v="Germany"/>
    <x v="2"/>
    <s v="None"/>
    <n v="367"/>
    <n v="10"/>
    <n v="12"/>
    <n v="4404"/>
    <n v="0"/>
    <n v="4404"/>
    <n v="1101"/>
    <n v="3303"/>
    <n v="0.75"/>
    <d v="2014-07-01T00:00:00"/>
    <n v="7"/>
    <x v="4"/>
    <x v="0"/>
  </r>
  <r>
    <s v="Government"/>
    <x v="0"/>
    <x v="3"/>
    <s v="Mexico"/>
    <x v="2"/>
    <s v="None"/>
    <n v="883"/>
    <n v="10"/>
    <n v="7"/>
    <n v="6181"/>
    <n v="0"/>
    <n v="6181"/>
    <n v="4415"/>
    <n v="1766"/>
    <n v="0.2857142857142857"/>
    <d v="2014-08-01T00:00:00"/>
    <n v="8"/>
    <x v="5"/>
    <x v="0"/>
  </r>
  <r>
    <s v="Midmarket"/>
    <x v="1"/>
    <x v="2"/>
    <s v="France"/>
    <x v="2"/>
    <s v="None"/>
    <n v="549"/>
    <n v="10"/>
    <n v="15"/>
    <n v="8235"/>
    <n v="0"/>
    <n v="8235"/>
    <n v="5490"/>
    <n v="2745"/>
    <n v="0.33333333333333331"/>
    <d v="2013-09-01T00:00:00"/>
    <n v="9"/>
    <x v="6"/>
    <x v="1"/>
  </r>
  <r>
    <s v="small business"/>
    <x v="4"/>
    <x v="3"/>
    <s v="Mexico"/>
    <x v="2"/>
    <s v="None"/>
    <n v="788"/>
    <n v="10"/>
    <n v="300"/>
    <n v="236400"/>
    <n v="0"/>
    <n v="236400"/>
    <n v="197000"/>
    <n v="39400"/>
    <n v="0.16666666666666666"/>
    <d v="2013-09-01T00:00:00"/>
    <n v="9"/>
    <x v="6"/>
    <x v="1"/>
  </r>
  <r>
    <s v="Midmarket"/>
    <x v="1"/>
    <x v="3"/>
    <s v="Mexico"/>
    <x v="2"/>
    <s v="None"/>
    <n v="2472"/>
    <n v="10"/>
    <n v="15"/>
    <n v="37080"/>
    <n v="0"/>
    <n v="37080"/>
    <n v="24720"/>
    <n v="12360"/>
    <n v="0.33333333333333331"/>
    <d v="2014-09-01T00:00:00"/>
    <n v="9"/>
    <x v="6"/>
    <x v="0"/>
  </r>
  <r>
    <s v="Government"/>
    <x v="0"/>
    <x v="4"/>
    <s v="Usa"/>
    <x v="2"/>
    <s v="None"/>
    <n v="1143"/>
    <n v="10"/>
    <n v="7"/>
    <n v="8001"/>
    <n v="0"/>
    <n v="8001"/>
    <n v="5715"/>
    <n v="2286"/>
    <n v="0.2857142857142857"/>
    <d v="2014-10-01T00:00:00"/>
    <n v="10"/>
    <x v="7"/>
    <x v="0"/>
  </r>
  <r>
    <s v="Government"/>
    <x v="0"/>
    <x v="0"/>
    <s v="Canada"/>
    <x v="2"/>
    <s v="None"/>
    <n v="1725"/>
    <n v="10"/>
    <n v="350"/>
    <n v="603750"/>
    <n v="0"/>
    <n v="603750"/>
    <n v="448500"/>
    <n v="155250"/>
    <n v="0.25714285714285712"/>
    <d v="2013-11-01T00:00:00"/>
    <n v="11"/>
    <x v="9"/>
    <x v="1"/>
  </r>
  <r>
    <s v="Channel Partners"/>
    <x v="2"/>
    <x v="4"/>
    <s v="Usa"/>
    <x v="2"/>
    <s v="None"/>
    <n v="912"/>
    <n v="10"/>
    <n v="12"/>
    <n v="10944"/>
    <n v="0"/>
    <n v="10944"/>
    <n v="2736"/>
    <n v="8208"/>
    <n v="0.75"/>
    <d v="2013-11-01T00:00:00"/>
    <n v="11"/>
    <x v="9"/>
    <x v="1"/>
  </r>
  <r>
    <s v="Midmarket"/>
    <x v="1"/>
    <x v="0"/>
    <s v="Canada"/>
    <x v="2"/>
    <s v="None"/>
    <n v="2152"/>
    <n v="10"/>
    <n v="15"/>
    <n v="32280"/>
    <n v="0"/>
    <n v="32280"/>
    <n v="21520"/>
    <n v="10760"/>
    <n v="0.33333333333333331"/>
    <d v="2013-12-01T00:00:00"/>
    <n v="12"/>
    <x v="2"/>
    <x v="1"/>
  </r>
  <r>
    <s v="Government"/>
    <x v="0"/>
    <x v="0"/>
    <s v="Canada"/>
    <x v="2"/>
    <s v="None"/>
    <n v="1817"/>
    <n v="10"/>
    <n v="20"/>
    <n v="36340"/>
    <n v="0"/>
    <n v="36340"/>
    <n v="18170"/>
    <n v="18170"/>
    <n v="0.5"/>
    <d v="2014-12-01T00:00:00"/>
    <n v="12"/>
    <x v="2"/>
    <x v="0"/>
  </r>
  <r>
    <s v="Government"/>
    <x v="0"/>
    <x v="1"/>
    <s v="Germany"/>
    <x v="2"/>
    <s v="None"/>
    <n v="1513"/>
    <n v="10"/>
    <n v="350"/>
    <n v="529550"/>
    <n v="0"/>
    <n v="529550"/>
    <n v="393380"/>
    <n v="136170"/>
    <n v="0.25714285714285712"/>
    <d v="2014-12-01T00:00:00"/>
    <n v="12"/>
    <x v="2"/>
    <x v="0"/>
  </r>
  <r>
    <s v="Government"/>
    <x v="0"/>
    <x v="3"/>
    <s v="Mexico"/>
    <x v="3"/>
    <s v="None"/>
    <n v="1493"/>
    <n v="120"/>
    <n v="7"/>
    <n v="10451"/>
    <n v="0"/>
    <n v="10451"/>
    <n v="7465"/>
    <n v="2986"/>
    <n v="0.2857142857142857"/>
    <d v="2014-01-01T00:00:00"/>
    <n v="1"/>
    <x v="0"/>
    <x v="0"/>
  </r>
  <r>
    <s v="Enterprise"/>
    <x v="3"/>
    <x v="2"/>
    <s v="France"/>
    <x v="3"/>
    <s v="None"/>
    <n v="1804"/>
    <n v="120"/>
    <n v="125"/>
    <n v="225500"/>
    <n v="0"/>
    <n v="225500"/>
    <n v="216480"/>
    <n v="9020"/>
    <n v="0.04"/>
    <d v="2014-02-01T00:00:00"/>
    <n v="2"/>
    <x v="8"/>
    <x v="0"/>
  </r>
  <r>
    <s v="Channel Partners"/>
    <x v="2"/>
    <x v="1"/>
    <s v="Germany"/>
    <x v="3"/>
    <s v="None"/>
    <n v="2161"/>
    <n v="120"/>
    <n v="12"/>
    <n v="25932"/>
    <n v="0"/>
    <n v="25932"/>
    <n v="6483"/>
    <n v="19449"/>
    <n v="0.75"/>
    <d v="2014-03-01T00:00:00"/>
    <n v="3"/>
    <x v="3"/>
    <x v="0"/>
  </r>
  <r>
    <s v="Government"/>
    <x v="0"/>
    <x v="1"/>
    <s v="Germany"/>
    <x v="3"/>
    <s v="None"/>
    <n v="1006"/>
    <n v="120"/>
    <n v="350"/>
    <n v="352100"/>
    <n v="0"/>
    <n v="352100"/>
    <n v="261560"/>
    <n v="90540"/>
    <n v="0.25714285714285712"/>
    <d v="2014-06-01T00:00:00"/>
    <n v="6"/>
    <x v="1"/>
    <x v="0"/>
  </r>
  <r>
    <s v="Channel Partners"/>
    <x v="2"/>
    <x v="1"/>
    <s v="Germany"/>
    <x v="3"/>
    <s v="None"/>
    <n v="1545"/>
    <n v="120"/>
    <n v="12"/>
    <n v="18540"/>
    <n v="0"/>
    <n v="18540"/>
    <n v="4635"/>
    <n v="13905"/>
    <n v="0.75"/>
    <d v="2014-06-01T00:00:00"/>
    <n v="6"/>
    <x v="1"/>
    <x v="0"/>
  </r>
  <r>
    <s v="Enterprise"/>
    <x v="3"/>
    <x v="4"/>
    <s v="Usa"/>
    <x v="3"/>
    <s v="None"/>
    <n v="2821"/>
    <n v="120"/>
    <n v="125"/>
    <n v="352625"/>
    <n v="0"/>
    <n v="352625"/>
    <n v="338520"/>
    <n v="14105"/>
    <n v="0.04"/>
    <d v="2014-08-01T00:00:00"/>
    <n v="8"/>
    <x v="5"/>
    <x v="0"/>
  </r>
  <r>
    <s v="Enterprise"/>
    <x v="3"/>
    <x v="0"/>
    <s v="Canada"/>
    <x v="3"/>
    <s v="None"/>
    <n v="345"/>
    <n v="120"/>
    <n v="125"/>
    <n v="43125"/>
    <n v="0"/>
    <n v="43125"/>
    <n v="41400"/>
    <n v="1725"/>
    <n v="0.04"/>
    <d v="2013-10-01T00:00:00"/>
    <n v="10"/>
    <x v="7"/>
    <x v="1"/>
  </r>
  <r>
    <s v="small business"/>
    <x v="4"/>
    <x v="0"/>
    <s v="Canada"/>
    <x v="4"/>
    <s v="None"/>
    <n v="2001"/>
    <n v="250"/>
    <n v="300"/>
    <n v="600300"/>
    <n v="0"/>
    <n v="600300"/>
    <n v="500250"/>
    <n v="100050"/>
    <n v="0.16666666666666666"/>
    <d v="2014-02-01T00:00:00"/>
    <n v="2"/>
    <x v="8"/>
    <x v="0"/>
  </r>
  <r>
    <s v="Channel Partners"/>
    <x v="2"/>
    <x v="1"/>
    <s v="Germany"/>
    <x v="4"/>
    <s v="None"/>
    <n v="2838"/>
    <n v="250"/>
    <n v="12"/>
    <n v="34056"/>
    <n v="0"/>
    <n v="34056"/>
    <n v="8514"/>
    <n v="25542"/>
    <n v="0.75"/>
    <d v="2014-04-01T00:00:00"/>
    <n v="4"/>
    <x v="10"/>
    <x v="0"/>
  </r>
  <r>
    <s v="Midmarket"/>
    <x v="1"/>
    <x v="1"/>
    <s v="Germany"/>
    <x v="4"/>
    <s v="None"/>
    <n v="1607.4792560801145"/>
    <n v="96.257510729613728"/>
    <n v="118.87087517934003"/>
    <n v="191082.46600287766"/>
    <n v="0"/>
    <n v="191082.46600287766"/>
    <n v="21780"/>
    <n v="169302.46600287766"/>
    <n v="0.88601779924866575"/>
    <d v="2014-06-01T00:00:00"/>
    <n v="6"/>
    <x v="1"/>
    <x v="0"/>
  </r>
  <r>
    <s v="Midmarket"/>
    <x v="1"/>
    <x v="1"/>
    <s v="Germany"/>
    <x v="4"/>
    <s v="None"/>
    <n v="888"/>
    <n v="250"/>
    <n v="15"/>
    <n v="13320"/>
    <n v="0"/>
    <n v="13320"/>
    <n v="8880"/>
    <n v="4440"/>
    <n v="0.33333333333333331"/>
    <d v="2014-06-01T00:00:00"/>
    <n v="6"/>
    <x v="1"/>
    <x v="0"/>
  </r>
  <r>
    <s v="Government"/>
    <x v="0"/>
    <x v="2"/>
    <s v="France"/>
    <x v="4"/>
    <s v="None"/>
    <n v="1527"/>
    <n v="250"/>
    <n v="350"/>
    <n v="534450"/>
    <n v="0"/>
    <n v="534450"/>
    <n v="397020"/>
    <n v="137430"/>
    <n v="0.25714285714285712"/>
    <d v="2013-09-01T00:00:00"/>
    <n v="9"/>
    <x v="6"/>
    <x v="1"/>
  </r>
  <r>
    <s v="small business"/>
    <x v="4"/>
    <x v="2"/>
    <s v="France"/>
    <x v="4"/>
    <s v="None"/>
    <n v="2151"/>
    <n v="250"/>
    <n v="300"/>
    <n v="645300"/>
    <n v="0"/>
    <n v="645300"/>
    <n v="537750"/>
    <n v="107550"/>
    <n v="0.16666666666666666"/>
    <d v="2014-09-01T00:00:00"/>
    <n v="9"/>
    <x v="6"/>
    <x v="0"/>
  </r>
  <r>
    <s v="Government"/>
    <x v="0"/>
    <x v="0"/>
    <s v="Canada"/>
    <x v="4"/>
    <s v="None"/>
    <n v="1817"/>
    <n v="250"/>
    <n v="20"/>
    <n v="36340"/>
    <n v="0"/>
    <n v="36340"/>
    <n v="18170"/>
    <n v="18170"/>
    <n v="0.5"/>
    <d v="2014-12-01T00:00:00"/>
    <n v="12"/>
    <x v="2"/>
    <x v="0"/>
  </r>
  <r>
    <s v="Government"/>
    <x v="0"/>
    <x v="2"/>
    <s v="France"/>
    <x v="5"/>
    <s v="None"/>
    <n v="2750"/>
    <n v="260"/>
    <n v="350"/>
    <n v="962500"/>
    <n v="0"/>
    <n v="962500"/>
    <n v="715000"/>
    <n v="247500"/>
    <n v="0.25714285714285712"/>
    <d v="2014-02-01T00:00:00"/>
    <n v="2"/>
    <x v="8"/>
    <x v="0"/>
  </r>
  <r>
    <s v="Channel Partners"/>
    <x v="2"/>
    <x v="4"/>
    <s v="Usa"/>
    <x v="5"/>
    <s v="None"/>
    <n v="1953"/>
    <n v="260"/>
    <n v="12"/>
    <n v="23436"/>
    <n v="0"/>
    <n v="23436"/>
    <n v="5859"/>
    <n v="17577"/>
    <n v="0.75"/>
    <d v="2014-04-01T00:00:00"/>
    <n v="4"/>
    <x v="10"/>
    <x v="0"/>
  </r>
  <r>
    <s v="Enterprise"/>
    <x v="3"/>
    <x v="1"/>
    <s v="Germany"/>
    <x v="5"/>
    <s v="None"/>
    <n v="4219.5"/>
    <n v="260"/>
    <n v="125"/>
    <n v="527437.5"/>
    <n v="0"/>
    <n v="527437.5"/>
    <n v="506340"/>
    <n v="21097.5"/>
    <n v="0.04"/>
    <d v="2014-04-01T00:00:00"/>
    <n v="4"/>
    <x v="10"/>
    <x v="0"/>
  </r>
  <r>
    <s v="Government"/>
    <x v="0"/>
    <x v="2"/>
    <s v="France"/>
    <x v="5"/>
    <s v="None"/>
    <n v="1899"/>
    <n v="260"/>
    <n v="20"/>
    <n v="37980"/>
    <n v="0"/>
    <n v="37980"/>
    <n v="18990"/>
    <n v="18990"/>
    <n v="0.5"/>
    <d v="2014-06-01T00:00:00"/>
    <n v="6"/>
    <x v="1"/>
    <x v="0"/>
  </r>
  <r>
    <s v="Government"/>
    <x v="0"/>
    <x v="1"/>
    <s v="Germany"/>
    <x v="5"/>
    <s v="None"/>
    <n v="1686"/>
    <n v="260"/>
    <n v="7"/>
    <n v="11802"/>
    <n v="0"/>
    <n v="11802"/>
    <n v="8430"/>
    <n v="3372"/>
    <n v="0.2857142857142857"/>
    <d v="2014-07-01T00:00:00"/>
    <n v="7"/>
    <x v="4"/>
    <x v="0"/>
  </r>
  <r>
    <s v="Channel Partners"/>
    <x v="2"/>
    <x v="4"/>
    <s v="Usa"/>
    <x v="5"/>
    <s v="None"/>
    <n v="2141"/>
    <n v="260"/>
    <n v="12"/>
    <n v="25692"/>
    <n v="0"/>
    <n v="25692"/>
    <n v="6423"/>
    <n v="19269"/>
    <n v="0.75"/>
    <d v="2014-08-01T00:00:00"/>
    <n v="8"/>
    <x v="5"/>
    <x v="0"/>
  </r>
  <r>
    <s v="Government"/>
    <x v="0"/>
    <x v="4"/>
    <s v="Usa"/>
    <x v="5"/>
    <s v="None"/>
    <n v="1143"/>
    <n v="260"/>
    <n v="7"/>
    <n v="8001"/>
    <n v="0"/>
    <n v="8001"/>
    <n v="5715"/>
    <n v="2286"/>
    <n v="0.2857142857142857"/>
    <d v="2014-10-01T00:00:00"/>
    <n v="10"/>
    <x v="7"/>
    <x v="0"/>
  </r>
  <r>
    <s v="Midmarket"/>
    <x v="1"/>
    <x v="4"/>
    <s v="Usa"/>
    <x v="5"/>
    <s v="None"/>
    <n v="615"/>
    <n v="260"/>
    <n v="15"/>
    <n v="9225"/>
    <n v="0"/>
    <n v="9225"/>
    <n v="6150"/>
    <n v="3075"/>
    <n v="0.33333333333333331"/>
    <d v="2014-12-01T00:00:00"/>
    <n v="12"/>
    <x v="2"/>
    <x v="0"/>
  </r>
  <r>
    <s v="Government"/>
    <x v="0"/>
    <x v="2"/>
    <s v="France"/>
    <x v="2"/>
    <s v="Low"/>
    <n v="3945"/>
    <n v="10"/>
    <n v="7"/>
    <n v="27615"/>
    <n v="276.14999999999998"/>
    <n v="27338.85"/>
    <n v="19725"/>
    <n v="7613.8499999999985"/>
    <n v="0.27849927849927847"/>
    <d v="2014-01-01T00:00:00"/>
    <n v="1"/>
    <x v="0"/>
    <x v="0"/>
  </r>
  <r>
    <s v="Midmarket"/>
    <x v="1"/>
    <x v="2"/>
    <s v="France"/>
    <x v="2"/>
    <s v="Low"/>
    <n v="2296"/>
    <n v="10"/>
    <n v="15"/>
    <n v="34440"/>
    <n v="344.4"/>
    <n v="34095.599999999999"/>
    <n v="22960"/>
    <n v="11135.599999999999"/>
    <n v="0.32659932659932656"/>
    <d v="2014-02-01T00:00:00"/>
    <n v="2"/>
    <x v="8"/>
    <x v="0"/>
  </r>
  <r>
    <s v="Government"/>
    <x v="0"/>
    <x v="2"/>
    <s v="France"/>
    <x v="2"/>
    <s v="Low"/>
    <n v="1030"/>
    <n v="10"/>
    <n v="7"/>
    <n v="7210"/>
    <n v="72.099999999999994"/>
    <n v="7137.9"/>
    <n v="5150"/>
    <n v="1987.8999999999996"/>
    <n v="0.27849927849927847"/>
    <d v="2014-05-01T00:00:00"/>
    <n v="5"/>
    <x v="11"/>
    <x v="0"/>
  </r>
  <r>
    <s v="Government"/>
    <x v="0"/>
    <x v="2"/>
    <s v="France"/>
    <x v="3"/>
    <s v="Low"/>
    <n v="639"/>
    <n v="120"/>
    <n v="7"/>
    <n v="4473"/>
    <n v="44.73"/>
    <n v="4428.2700000000004"/>
    <n v="3195"/>
    <n v="1233.2700000000004"/>
    <n v="0.27849927849927858"/>
    <d v="2014-11-01T00:00:00"/>
    <n v="11"/>
    <x v="9"/>
    <x v="0"/>
  </r>
  <r>
    <s v="Government"/>
    <x v="0"/>
    <x v="0"/>
    <s v="Canada"/>
    <x v="4"/>
    <s v="Low"/>
    <n v="1326"/>
    <n v="250"/>
    <n v="7"/>
    <n v="9282"/>
    <n v="92.82"/>
    <n v="9189.18"/>
    <n v="6630"/>
    <n v="2559.1800000000003"/>
    <n v="0.27849927849927852"/>
    <d v="2014-03-01T00:00:00"/>
    <n v="3"/>
    <x v="3"/>
    <x v="0"/>
  </r>
  <r>
    <s v="Channel Partners"/>
    <x v="2"/>
    <x v="4"/>
    <s v="Usa"/>
    <x v="0"/>
    <s v="Low"/>
    <n v="1858"/>
    <n v="3"/>
    <n v="12"/>
    <n v="22296"/>
    <n v="222.96"/>
    <n v="22073.040000000001"/>
    <n v="5574"/>
    <n v="16499.04"/>
    <n v="0.74747474747474751"/>
    <d v="2014-02-01T00:00:00"/>
    <n v="2"/>
    <x v="8"/>
    <x v="0"/>
  </r>
  <r>
    <s v="Government"/>
    <x v="0"/>
    <x v="3"/>
    <s v="Mexico"/>
    <x v="0"/>
    <s v="Low"/>
    <n v="1210"/>
    <n v="3"/>
    <n v="350"/>
    <n v="423500"/>
    <n v="4235"/>
    <n v="419265"/>
    <n v="314600"/>
    <n v="104665"/>
    <n v="0.24963924963924963"/>
    <d v="2014-03-01T00:00:00"/>
    <n v="3"/>
    <x v="3"/>
    <x v="0"/>
  </r>
  <r>
    <s v="Government"/>
    <x v="0"/>
    <x v="4"/>
    <s v="Usa"/>
    <x v="0"/>
    <s v="Low"/>
    <n v="2529"/>
    <n v="3"/>
    <n v="7"/>
    <n v="17703"/>
    <n v="177.03"/>
    <n v="17525.97"/>
    <n v="12645"/>
    <n v="4880.9700000000012"/>
    <n v="0.27849927849927852"/>
    <d v="2014-07-01T00:00:00"/>
    <n v="7"/>
    <x v="4"/>
    <x v="0"/>
  </r>
  <r>
    <s v="Channel Partners"/>
    <x v="2"/>
    <x v="0"/>
    <s v="Canada"/>
    <x v="0"/>
    <s v="Low"/>
    <n v="1445"/>
    <n v="3"/>
    <n v="12"/>
    <n v="17340"/>
    <n v="173.4"/>
    <n v="17166.599999999999"/>
    <n v="4335"/>
    <n v="12831.599999999999"/>
    <n v="0.7474747474747474"/>
    <d v="2014-09-01T00:00:00"/>
    <n v="9"/>
    <x v="6"/>
    <x v="0"/>
  </r>
  <r>
    <s v="Enterprise"/>
    <x v="3"/>
    <x v="4"/>
    <s v="Usa"/>
    <x v="0"/>
    <s v="Low"/>
    <n v="330"/>
    <n v="3"/>
    <n v="125"/>
    <n v="41250"/>
    <n v="412.5"/>
    <n v="40837.5"/>
    <n v="39600"/>
    <n v="1237.5"/>
    <n v="3.0303030303030304E-2"/>
    <d v="2013-09-01T00:00:00"/>
    <n v="9"/>
    <x v="6"/>
    <x v="1"/>
  </r>
  <r>
    <s v="Channel Partners"/>
    <x v="2"/>
    <x v="2"/>
    <s v="France"/>
    <x v="0"/>
    <s v="Low"/>
    <n v="2671"/>
    <n v="3"/>
    <n v="12"/>
    <n v="32052"/>
    <n v="320.52"/>
    <n v="31731.48"/>
    <n v="8013"/>
    <n v="23718.48"/>
    <n v="0.74747474747474751"/>
    <d v="2014-09-01T00:00:00"/>
    <n v="9"/>
    <x v="6"/>
    <x v="0"/>
  </r>
  <r>
    <s v="Channel Partners"/>
    <x v="2"/>
    <x v="1"/>
    <s v="Germany"/>
    <x v="0"/>
    <s v="Low"/>
    <n v="766"/>
    <n v="3"/>
    <n v="12"/>
    <n v="9192"/>
    <n v="91.92"/>
    <n v="9100.08"/>
    <n v="2298"/>
    <n v="6802.08"/>
    <n v="0.74747474747474751"/>
    <d v="2013-10-01T00:00:00"/>
    <n v="10"/>
    <x v="7"/>
    <x v="1"/>
  </r>
  <r>
    <s v="small business"/>
    <x v="4"/>
    <x v="3"/>
    <s v="Mexico"/>
    <x v="0"/>
    <s v="Low"/>
    <n v="494"/>
    <n v="3"/>
    <n v="300"/>
    <n v="148200"/>
    <n v="1482"/>
    <n v="146718"/>
    <n v="123500"/>
    <n v="23218"/>
    <n v="0.15824915824915825"/>
    <d v="2013-10-01T00:00:00"/>
    <n v="10"/>
    <x v="7"/>
    <x v="1"/>
  </r>
  <r>
    <s v="Government"/>
    <x v="0"/>
    <x v="3"/>
    <s v="Mexico"/>
    <x v="0"/>
    <s v="Low"/>
    <n v="1397"/>
    <n v="3"/>
    <n v="350"/>
    <n v="488950"/>
    <n v="4889.5"/>
    <n v="484060.5"/>
    <n v="363220"/>
    <n v="120840.5"/>
    <n v="0.24963924963924963"/>
    <d v="2014-10-01T00:00:00"/>
    <n v="10"/>
    <x v="7"/>
    <x v="0"/>
  </r>
  <r>
    <s v="Government"/>
    <x v="0"/>
    <x v="2"/>
    <s v="France"/>
    <x v="0"/>
    <s v="Low"/>
    <n v="2155"/>
    <n v="3"/>
    <n v="350"/>
    <n v="754250"/>
    <n v="7542.5"/>
    <n v="746707.5"/>
    <n v="560300"/>
    <n v="186407.5"/>
    <n v="0.24963924963924963"/>
    <d v="2014-12-01T00:00:00"/>
    <n v="12"/>
    <x v="2"/>
    <x v="0"/>
  </r>
  <r>
    <s v="Midmarket"/>
    <x v="1"/>
    <x v="3"/>
    <s v="Mexico"/>
    <x v="1"/>
    <s v="Low"/>
    <n v="2214"/>
    <n v="5"/>
    <n v="15"/>
    <n v="33210"/>
    <n v="332.1"/>
    <n v="32877.9"/>
    <n v="22140"/>
    <n v="10737.900000000001"/>
    <n v="0.32659932659932661"/>
    <d v="2014-03-01T00:00:00"/>
    <n v="3"/>
    <x v="3"/>
    <x v="0"/>
  </r>
  <r>
    <s v="small business"/>
    <x v="4"/>
    <x v="4"/>
    <s v="Usa"/>
    <x v="1"/>
    <s v="Low"/>
    <n v="2301"/>
    <n v="5"/>
    <n v="300"/>
    <n v="690300"/>
    <n v="6903"/>
    <n v="683397"/>
    <n v="575250"/>
    <n v="108147"/>
    <n v="0.15824915824915825"/>
    <d v="2014-04-01T00:00:00"/>
    <n v="4"/>
    <x v="10"/>
    <x v="0"/>
  </r>
  <r>
    <s v="Government"/>
    <x v="0"/>
    <x v="2"/>
    <s v="France"/>
    <x v="1"/>
    <s v="Low"/>
    <n v="1375.5"/>
    <n v="5"/>
    <n v="20"/>
    <n v="27510"/>
    <n v="275.10000000000002"/>
    <n v="27234.9"/>
    <n v="13755"/>
    <n v="13479.900000000001"/>
    <n v="0.49494949494949497"/>
    <d v="2014-07-01T00:00:00"/>
    <n v="7"/>
    <x v="4"/>
    <x v="0"/>
  </r>
  <r>
    <s v="Government"/>
    <x v="0"/>
    <x v="0"/>
    <s v="Canada"/>
    <x v="1"/>
    <s v="Low"/>
    <n v="1830"/>
    <n v="5"/>
    <n v="7"/>
    <n v="12810"/>
    <n v="128.1"/>
    <n v="12681.9"/>
    <n v="9150"/>
    <n v="3531.8999999999996"/>
    <n v="0.27849927849927847"/>
    <d v="2014-08-01T00:00:00"/>
    <n v="8"/>
    <x v="5"/>
    <x v="0"/>
  </r>
  <r>
    <s v="small business"/>
    <x v="4"/>
    <x v="4"/>
    <s v="Usa"/>
    <x v="1"/>
    <s v="Low"/>
    <n v="2498"/>
    <n v="5"/>
    <n v="300"/>
    <n v="749400"/>
    <n v="7494"/>
    <n v="741906"/>
    <n v="624500"/>
    <n v="117406"/>
    <n v="0.15824915824915825"/>
    <d v="2013-09-01T00:00:00"/>
    <n v="9"/>
    <x v="6"/>
    <x v="1"/>
  </r>
  <r>
    <s v="Enterprise"/>
    <x v="3"/>
    <x v="4"/>
    <s v="Usa"/>
    <x v="1"/>
    <s v="Low"/>
    <n v="663"/>
    <n v="5"/>
    <n v="125"/>
    <n v="82875"/>
    <n v="828.75"/>
    <n v="82046.25"/>
    <n v="79560"/>
    <n v="2486.25"/>
    <n v="3.0303030303030304E-2"/>
    <d v="2013-10-01T00:00:00"/>
    <n v="10"/>
    <x v="7"/>
    <x v="1"/>
  </r>
  <r>
    <s v="Midmarket"/>
    <x v="1"/>
    <x v="4"/>
    <s v="Usa"/>
    <x v="2"/>
    <s v="Low"/>
    <n v="1514"/>
    <n v="10"/>
    <n v="15"/>
    <n v="22710"/>
    <n v="227.1"/>
    <n v="22482.9"/>
    <n v="15140"/>
    <n v="7342.9000000000015"/>
    <n v="0.32659932659932667"/>
    <d v="2014-02-01T00:00:00"/>
    <n v="2"/>
    <x v="8"/>
    <x v="0"/>
  </r>
  <r>
    <s v="Government"/>
    <x v="0"/>
    <x v="4"/>
    <s v="Usa"/>
    <x v="2"/>
    <s v="Low"/>
    <n v="4492.5"/>
    <n v="10"/>
    <n v="7"/>
    <n v="31447.5"/>
    <n v="314.47500000000002"/>
    <n v="31133.025000000001"/>
    <n v="22462.5"/>
    <n v="8670.5250000000015"/>
    <n v="0.27849927849927852"/>
    <d v="2014-04-01T00:00:00"/>
    <n v="4"/>
    <x v="10"/>
    <x v="0"/>
  </r>
  <r>
    <s v="Enterprise"/>
    <x v="3"/>
    <x v="4"/>
    <s v="Usa"/>
    <x v="2"/>
    <s v="Low"/>
    <n v="727"/>
    <n v="10"/>
    <n v="125"/>
    <n v="90875"/>
    <n v="908.75"/>
    <n v="89966.25"/>
    <n v="87240"/>
    <n v="2726.25"/>
    <n v="3.0303030303030304E-2"/>
    <d v="2014-06-01T00:00:00"/>
    <n v="6"/>
    <x v="1"/>
    <x v="0"/>
  </r>
  <r>
    <s v="Enterprise"/>
    <x v="3"/>
    <x v="2"/>
    <s v="France"/>
    <x v="2"/>
    <s v="Low"/>
    <n v="787"/>
    <n v="10"/>
    <n v="125"/>
    <n v="98375"/>
    <n v="983.75"/>
    <n v="97391.25"/>
    <n v="94440"/>
    <n v="2951.25"/>
    <n v="3.0303030303030304E-2"/>
    <d v="2014-06-01T00:00:00"/>
    <n v="6"/>
    <x v="1"/>
    <x v="0"/>
  </r>
  <r>
    <s v="Enterprise"/>
    <x v="3"/>
    <x v="3"/>
    <s v="Mexico"/>
    <x v="2"/>
    <s v="Low"/>
    <n v="1823"/>
    <n v="10"/>
    <n v="125"/>
    <n v="227875"/>
    <n v="2278.75"/>
    <n v="225596.25"/>
    <n v="218760"/>
    <n v="6836.25"/>
    <n v="3.0303030303030304E-2"/>
    <d v="2014-07-01T00:00:00"/>
    <n v="7"/>
    <x v="4"/>
    <x v="0"/>
  </r>
  <r>
    <s v="Midmarket"/>
    <x v="1"/>
    <x v="1"/>
    <s v="Germany"/>
    <x v="2"/>
    <s v="Low"/>
    <n v="747"/>
    <n v="10"/>
    <n v="15"/>
    <n v="11205"/>
    <n v="112.05"/>
    <n v="11092.95"/>
    <n v="7470"/>
    <n v="3622.9500000000007"/>
    <n v="0.32659932659932667"/>
    <d v="2014-09-01T00:00:00"/>
    <n v="9"/>
    <x v="6"/>
    <x v="0"/>
  </r>
  <r>
    <s v="Channel Partners"/>
    <x v="2"/>
    <x v="1"/>
    <s v="Germany"/>
    <x v="2"/>
    <s v="Low"/>
    <n v="766"/>
    <n v="10"/>
    <n v="12"/>
    <n v="9192"/>
    <n v="91.92"/>
    <n v="9100.08"/>
    <n v="2298"/>
    <n v="6802.08"/>
    <n v="0.74747474747474751"/>
    <d v="2013-10-01T00:00:00"/>
    <n v="10"/>
    <x v="7"/>
    <x v="1"/>
  </r>
  <r>
    <s v="small business"/>
    <x v="4"/>
    <x v="4"/>
    <s v="Usa"/>
    <x v="2"/>
    <s v="Low"/>
    <n v="2905"/>
    <n v="10"/>
    <n v="300"/>
    <n v="871500"/>
    <n v="8715"/>
    <n v="862785"/>
    <n v="726250"/>
    <n v="136535"/>
    <n v="0.15824915824915825"/>
    <d v="2014-11-01T00:00:00"/>
    <n v="11"/>
    <x v="9"/>
    <x v="0"/>
  </r>
  <r>
    <s v="Government"/>
    <x v="0"/>
    <x v="2"/>
    <s v="France"/>
    <x v="2"/>
    <s v="Low"/>
    <n v="2155"/>
    <n v="10"/>
    <n v="350"/>
    <n v="754250"/>
    <n v="7542.5"/>
    <n v="746707.5"/>
    <n v="560300"/>
    <n v="186407.5"/>
    <n v="0.24963924963924963"/>
    <d v="2014-12-01T00:00:00"/>
    <n v="12"/>
    <x v="2"/>
    <x v="0"/>
  </r>
  <r>
    <s v="Government"/>
    <x v="0"/>
    <x v="2"/>
    <s v="France"/>
    <x v="3"/>
    <s v="Low"/>
    <n v="3864"/>
    <n v="120"/>
    <n v="20"/>
    <n v="77280"/>
    <n v="772.80000000000007"/>
    <n v="76507.199999999997"/>
    <n v="38640"/>
    <n v="37867.199999999997"/>
    <n v="0.49494949494949492"/>
    <d v="2014-04-01T00:00:00"/>
    <n v="4"/>
    <x v="10"/>
    <x v="0"/>
  </r>
  <r>
    <s v="Government"/>
    <x v="0"/>
    <x v="3"/>
    <s v="Mexico"/>
    <x v="3"/>
    <s v="Low"/>
    <n v="362"/>
    <n v="120"/>
    <n v="7"/>
    <n v="2534"/>
    <n v="25.34"/>
    <n v="2508.66"/>
    <n v="1810"/>
    <n v="698.65999999999985"/>
    <n v="0.27849927849927847"/>
    <d v="2014-05-01T00:00:00"/>
    <n v="5"/>
    <x v="11"/>
    <x v="0"/>
  </r>
  <r>
    <s v="Enterprise"/>
    <x v="3"/>
    <x v="0"/>
    <s v="Canada"/>
    <x v="3"/>
    <s v="Low"/>
    <n v="923"/>
    <n v="120"/>
    <n v="125"/>
    <n v="115375"/>
    <n v="1153.75"/>
    <n v="114221.25"/>
    <n v="110760"/>
    <n v="3461.25"/>
    <n v="3.0303030303030304E-2"/>
    <d v="2014-08-01T00:00:00"/>
    <n v="8"/>
    <x v="5"/>
    <x v="0"/>
  </r>
  <r>
    <s v="Enterprise"/>
    <x v="3"/>
    <x v="4"/>
    <s v="Usa"/>
    <x v="3"/>
    <s v="Low"/>
    <n v="663"/>
    <n v="120"/>
    <n v="125"/>
    <n v="82875"/>
    <n v="828.75"/>
    <n v="82046.25"/>
    <n v="79560"/>
    <n v="2486.25"/>
    <n v="3.0303030303030304E-2"/>
    <d v="2013-10-01T00:00:00"/>
    <n v="10"/>
    <x v="7"/>
    <x v="1"/>
  </r>
  <r>
    <s v="Government"/>
    <x v="0"/>
    <x v="0"/>
    <s v="Canada"/>
    <x v="3"/>
    <s v="Low"/>
    <n v="2092"/>
    <n v="120"/>
    <n v="7"/>
    <n v="14644"/>
    <n v="146.44"/>
    <n v="14497.56"/>
    <n v="10460"/>
    <n v="4037.5599999999995"/>
    <n v="0.27849927849927847"/>
    <d v="2013-11-01T00:00:00"/>
    <n v="11"/>
    <x v="9"/>
    <x v="1"/>
  </r>
  <r>
    <s v="Government"/>
    <x v="0"/>
    <x v="1"/>
    <s v="Germany"/>
    <x v="4"/>
    <s v="Low"/>
    <n v="263"/>
    <n v="250"/>
    <n v="7"/>
    <n v="1841"/>
    <n v="18.41"/>
    <n v="1822.59"/>
    <n v="1315"/>
    <n v="507.58999999999992"/>
    <n v="0.27849927849927847"/>
    <d v="2014-03-01T00:00:00"/>
    <n v="3"/>
    <x v="3"/>
    <x v="0"/>
  </r>
  <r>
    <s v="Government"/>
    <x v="0"/>
    <x v="0"/>
    <s v="Canada"/>
    <x v="4"/>
    <s v="Low"/>
    <n v="943.5"/>
    <n v="250"/>
    <n v="350"/>
    <n v="330225"/>
    <n v="3302.25"/>
    <n v="326922.75"/>
    <n v="245310"/>
    <n v="81612.75"/>
    <n v="0.24963924963924963"/>
    <d v="2014-04-01T00:00:00"/>
    <n v="4"/>
    <x v="10"/>
    <x v="0"/>
  </r>
  <r>
    <s v="Enterprise"/>
    <x v="3"/>
    <x v="4"/>
    <s v="Usa"/>
    <x v="4"/>
    <s v="Low"/>
    <n v="727"/>
    <n v="250"/>
    <n v="125"/>
    <n v="90875"/>
    <n v="908.75"/>
    <n v="89966.25"/>
    <n v="87240"/>
    <n v="2726.25"/>
    <n v="3.0303030303030304E-2"/>
    <d v="2014-06-01T00:00:00"/>
    <n v="6"/>
    <x v="1"/>
    <x v="0"/>
  </r>
  <r>
    <s v="Enterprise"/>
    <x v="3"/>
    <x v="2"/>
    <s v="France"/>
    <x v="4"/>
    <s v="Low"/>
    <n v="787"/>
    <n v="250"/>
    <n v="125"/>
    <n v="98375"/>
    <n v="983.75"/>
    <n v="97391.25"/>
    <n v="94440"/>
    <n v="2951.25"/>
    <n v="3.0303030303030304E-2"/>
    <d v="2014-06-01T00:00:00"/>
    <n v="6"/>
    <x v="1"/>
    <x v="0"/>
  </r>
  <r>
    <s v="small business"/>
    <x v="4"/>
    <x v="1"/>
    <s v="Germany"/>
    <x v="4"/>
    <s v="Low"/>
    <n v="986"/>
    <n v="250"/>
    <n v="300"/>
    <n v="295800"/>
    <n v="2958"/>
    <n v="292842"/>
    <n v="246500"/>
    <n v="46342"/>
    <n v="0.15824915824915825"/>
    <d v="2014-09-01T00:00:00"/>
    <n v="9"/>
    <x v="6"/>
    <x v="0"/>
  </r>
  <r>
    <s v="small business"/>
    <x v="4"/>
    <x v="3"/>
    <s v="Mexico"/>
    <x v="4"/>
    <s v="Low"/>
    <n v="494"/>
    <n v="250"/>
    <n v="300"/>
    <n v="148200"/>
    <n v="1482"/>
    <n v="146718"/>
    <n v="123500"/>
    <n v="23218"/>
    <n v="0.15824915824915825"/>
    <d v="2013-10-01T00:00:00"/>
    <n v="10"/>
    <x v="7"/>
    <x v="1"/>
  </r>
  <r>
    <s v="Government"/>
    <x v="0"/>
    <x v="3"/>
    <s v="Mexico"/>
    <x v="4"/>
    <s v="Low"/>
    <n v="1397"/>
    <n v="250"/>
    <n v="350"/>
    <n v="488950"/>
    <n v="4889.5"/>
    <n v="484060.5"/>
    <n v="363220"/>
    <n v="120840.5"/>
    <n v="0.24963924963924963"/>
    <d v="2014-10-01T00:00:00"/>
    <n v="10"/>
    <x v="7"/>
    <x v="0"/>
  </r>
  <r>
    <s v="Enterprise"/>
    <x v="3"/>
    <x v="2"/>
    <s v="France"/>
    <x v="4"/>
    <s v="Low"/>
    <n v="1744"/>
    <n v="250"/>
    <n v="125"/>
    <n v="218000"/>
    <n v="2180"/>
    <n v="215820"/>
    <n v="209280"/>
    <n v="6540"/>
    <n v="3.0303030303030304E-2"/>
    <d v="2014-11-01T00:00:00"/>
    <n v="11"/>
    <x v="9"/>
    <x v="0"/>
  </r>
  <r>
    <s v="Channel Partners"/>
    <x v="2"/>
    <x v="4"/>
    <s v="Usa"/>
    <x v="5"/>
    <s v="Low"/>
    <n v="1989"/>
    <n v="260"/>
    <n v="12"/>
    <n v="23868"/>
    <n v="238.68"/>
    <n v="23629.32"/>
    <n v="5967"/>
    <n v="17662.32"/>
    <n v="0.74747474747474751"/>
    <d v="2013-09-01T00:00:00"/>
    <n v="9"/>
    <x v="6"/>
    <x v="1"/>
  </r>
  <r>
    <s v="Midmarket"/>
    <x v="1"/>
    <x v="2"/>
    <s v="France"/>
    <x v="5"/>
    <s v="Low"/>
    <n v="321"/>
    <n v="260"/>
    <n v="15"/>
    <n v="4815"/>
    <n v="48.15"/>
    <n v="4766.8500000000004"/>
    <n v="3210"/>
    <n v="1556.8500000000004"/>
    <n v="0.32659932659932667"/>
    <d v="2013-11-01T00:00:00"/>
    <n v="11"/>
    <x v="9"/>
    <x v="1"/>
  </r>
  <r>
    <s v="Enterprise"/>
    <x v="3"/>
    <x v="0"/>
    <s v="Canada"/>
    <x v="0"/>
    <s v="Low"/>
    <n v="742.5"/>
    <n v="3"/>
    <n v="125"/>
    <n v="92812.5"/>
    <n v="1856.25"/>
    <n v="90956.25"/>
    <n v="89100"/>
    <n v="1856.25"/>
    <n v="2.0408163265306121E-2"/>
    <d v="2014-04-01T00:00:00"/>
    <n v="4"/>
    <x v="10"/>
    <x v="0"/>
  </r>
  <r>
    <s v="Channel Partners"/>
    <x v="2"/>
    <x v="0"/>
    <s v="Canada"/>
    <x v="0"/>
    <s v="Low"/>
    <n v="1295"/>
    <n v="3"/>
    <n v="12"/>
    <n v="15540"/>
    <n v="310.8"/>
    <n v="15229.2"/>
    <n v="3885"/>
    <n v="11344.2"/>
    <n v="0.74489795918367352"/>
    <d v="2014-10-01T00:00:00"/>
    <n v="10"/>
    <x v="7"/>
    <x v="0"/>
  </r>
  <r>
    <s v="small business"/>
    <x v="4"/>
    <x v="1"/>
    <s v="Germany"/>
    <x v="0"/>
    <s v="Low"/>
    <n v="214"/>
    <n v="3"/>
    <n v="300"/>
    <n v="64200"/>
    <n v="1284"/>
    <n v="62916"/>
    <n v="53500"/>
    <n v="9416"/>
    <n v="0.14965986394557823"/>
    <d v="2013-10-01T00:00:00"/>
    <n v="10"/>
    <x v="7"/>
    <x v="1"/>
  </r>
  <r>
    <s v="Government"/>
    <x v="0"/>
    <x v="2"/>
    <s v="France"/>
    <x v="0"/>
    <s v="Low"/>
    <n v="2145"/>
    <n v="3"/>
    <n v="7"/>
    <n v="15015"/>
    <n v="300.3"/>
    <n v="14714.7"/>
    <n v="10725"/>
    <n v="3989.7000000000007"/>
    <n v="0.2711370262390671"/>
    <d v="2013-11-01T00:00:00"/>
    <n v="11"/>
    <x v="9"/>
    <x v="1"/>
  </r>
  <r>
    <s v="Government"/>
    <x v="0"/>
    <x v="0"/>
    <s v="Canada"/>
    <x v="0"/>
    <s v="Low"/>
    <n v="2852"/>
    <n v="3"/>
    <n v="350"/>
    <n v="998200"/>
    <n v="19964"/>
    <n v="978236"/>
    <n v="741520"/>
    <n v="236716"/>
    <n v="0.24198250728862974"/>
    <d v="2014-12-01T00:00:00"/>
    <n v="12"/>
    <x v="2"/>
    <x v="0"/>
  </r>
  <r>
    <s v="Channel Partners"/>
    <x v="2"/>
    <x v="4"/>
    <s v="Usa"/>
    <x v="1"/>
    <s v="Low"/>
    <n v="1142"/>
    <n v="5"/>
    <n v="12"/>
    <n v="13704"/>
    <n v="274.08"/>
    <n v="13429.92"/>
    <n v="3426"/>
    <n v="10003.92"/>
    <n v="0.74489795918367352"/>
    <d v="2014-06-01T00:00:00"/>
    <n v="6"/>
    <x v="1"/>
    <x v="0"/>
  </r>
  <r>
    <s v="Government"/>
    <x v="0"/>
    <x v="4"/>
    <s v="Usa"/>
    <x v="1"/>
    <s v="Low"/>
    <n v="1566"/>
    <n v="5"/>
    <n v="20"/>
    <n v="31320"/>
    <n v="626.4"/>
    <n v="30693.599999999999"/>
    <n v="15660"/>
    <n v="15033.599999999999"/>
    <n v="0.48979591836734693"/>
    <d v="2014-10-01T00:00:00"/>
    <n v="10"/>
    <x v="7"/>
    <x v="0"/>
  </r>
  <r>
    <s v="Channel Partners"/>
    <x v="2"/>
    <x v="3"/>
    <s v="Mexico"/>
    <x v="1"/>
    <s v="Low"/>
    <n v="690"/>
    <n v="5"/>
    <n v="12"/>
    <n v="8280"/>
    <n v="165.6"/>
    <n v="8114.4"/>
    <n v="2070"/>
    <n v="6044.4"/>
    <n v="0.74489795918367341"/>
    <d v="2014-11-01T00:00:00"/>
    <n v="11"/>
    <x v="9"/>
    <x v="0"/>
  </r>
  <r>
    <s v="Enterprise"/>
    <x v="3"/>
    <x v="3"/>
    <s v="Mexico"/>
    <x v="1"/>
    <s v="Low"/>
    <n v="1660"/>
    <n v="5"/>
    <n v="125"/>
    <n v="207500"/>
    <n v="4150"/>
    <n v="203350"/>
    <n v="199200"/>
    <n v="4150"/>
    <n v="2.0408163265306121E-2"/>
    <d v="2013-11-01T00:00:00"/>
    <n v="11"/>
    <x v="9"/>
    <x v="1"/>
  </r>
  <r>
    <s v="Midmarket"/>
    <x v="1"/>
    <x v="0"/>
    <s v="Canada"/>
    <x v="2"/>
    <s v="Low"/>
    <n v="2363"/>
    <n v="10"/>
    <n v="15"/>
    <n v="35445"/>
    <n v="708.9"/>
    <n v="34736.1"/>
    <n v="23630"/>
    <n v="11106.099999999999"/>
    <n v="0.31972789115646255"/>
    <d v="2014-02-01T00:00:00"/>
    <n v="2"/>
    <x v="8"/>
    <x v="0"/>
  </r>
  <r>
    <s v="small business"/>
    <x v="4"/>
    <x v="2"/>
    <s v="France"/>
    <x v="2"/>
    <s v="Low"/>
    <n v="918"/>
    <n v="10"/>
    <n v="300"/>
    <n v="275400"/>
    <n v="5508"/>
    <n v="269892"/>
    <n v="229500"/>
    <n v="40392"/>
    <n v="0.14965986394557823"/>
    <d v="2014-05-01T00:00:00"/>
    <n v="5"/>
    <x v="11"/>
    <x v="0"/>
  </r>
  <r>
    <s v="small business"/>
    <x v="4"/>
    <x v="1"/>
    <s v="Germany"/>
    <x v="2"/>
    <s v="Low"/>
    <n v="1728"/>
    <n v="10"/>
    <n v="300"/>
    <n v="518400"/>
    <n v="10368"/>
    <n v="508032"/>
    <n v="432000"/>
    <n v="76032"/>
    <n v="0.14965986394557823"/>
    <d v="2014-05-01T00:00:00"/>
    <n v="5"/>
    <x v="11"/>
    <x v="0"/>
  </r>
  <r>
    <s v="Channel Partners"/>
    <x v="2"/>
    <x v="4"/>
    <s v="Usa"/>
    <x v="2"/>
    <s v="Low"/>
    <n v="1142"/>
    <n v="10"/>
    <n v="12"/>
    <n v="13704"/>
    <n v="274.08"/>
    <n v="13429.92"/>
    <n v="3426"/>
    <n v="10003.92"/>
    <n v="0.74489795918367352"/>
    <d v="2014-06-01T00:00:00"/>
    <n v="6"/>
    <x v="1"/>
    <x v="0"/>
  </r>
  <r>
    <s v="Enterprise"/>
    <x v="3"/>
    <x v="3"/>
    <s v="Mexico"/>
    <x v="2"/>
    <s v="Low"/>
    <n v="662"/>
    <n v="10"/>
    <n v="125"/>
    <n v="82750"/>
    <n v="1655"/>
    <n v="81095"/>
    <n v="79440"/>
    <n v="1655"/>
    <n v="2.0408163265306121E-2"/>
    <d v="2014-06-01T00:00:00"/>
    <n v="6"/>
    <x v="1"/>
    <x v="0"/>
  </r>
  <r>
    <s v="Channel Partners"/>
    <x v="2"/>
    <x v="0"/>
    <s v="Canada"/>
    <x v="2"/>
    <s v="Low"/>
    <n v="1295"/>
    <n v="10"/>
    <n v="12"/>
    <n v="15540"/>
    <n v="310.8"/>
    <n v="15229.2"/>
    <n v="3885"/>
    <n v="11344.2"/>
    <n v="0.74489795918367352"/>
    <d v="2014-10-01T00:00:00"/>
    <n v="10"/>
    <x v="7"/>
    <x v="0"/>
  </r>
  <r>
    <s v="Enterprise"/>
    <x v="3"/>
    <x v="1"/>
    <s v="Germany"/>
    <x v="2"/>
    <s v="Low"/>
    <n v="809"/>
    <n v="10"/>
    <n v="125"/>
    <n v="101125"/>
    <n v="2022.5"/>
    <n v="99102.5"/>
    <n v="97080"/>
    <n v="2022.5"/>
    <n v="2.0408163265306121E-2"/>
    <d v="2013-10-01T00:00:00"/>
    <n v="10"/>
    <x v="7"/>
    <x v="1"/>
  </r>
  <r>
    <s v="Enterprise"/>
    <x v="3"/>
    <x v="3"/>
    <s v="Mexico"/>
    <x v="2"/>
    <s v="Low"/>
    <n v="2145"/>
    <n v="10"/>
    <n v="125"/>
    <n v="268125"/>
    <n v="5362.5"/>
    <n v="262762.5"/>
    <n v="257400"/>
    <n v="5362.5"/>
    <n v="2.0408163265306121E-2"/>
    <d v="2013-10-01T00:00:00"/>
    <n v="10"/>
    <x v="7"/>
    <x v="1"/>
  </r>
  <r>
    <s v="Channel Partners"/>
    <x v="2"/>
    <x v="2"/>
    <s v="France"/>
    <x v="2"/>
    <s v="Low"/>
    <n v="1785"/>
    <n v="10"/>
    <n v="12"/>
    <n v="21420"/>
    <n v="428.4"/>
    <n v="20991.599999999999"/>
    <n v="5355"/>
    <n v="15636.599999999999"/>
    <n v="0.74489795918367341"/>
    <d v="2013-11-01T00:00:00"/>
    <n v="11"/>
    <x v="9"/>
    <x v="1"/>
  </r>
  <r>
    <s v="small business"/>
    <x v="4"/>
    <x v="0"/>
    <s v="Canada"/>
    <x v="2"/>
    <s v="Low"/>
    <n v="1916"/>
    <n v="10"/>
    <n v="300"/>
    <n v="574800"/>
    <n v="11496"/>
    <n v="563304"/>
    <n v="479000"/>
    <n v="84304"/>
    <n v="0.14965986394557823"/>
    <d v="2014-12-01T00:00:00"/>
    <n v="12"/>
    <x v="2"/>
    <x v="0"/>
  </r>
  <r>
    <s v="Government"/>
    <x v="0"/>
    <x v="0"/>
    <s v="Canada"/>
    <x v="2"/>
    <s v="Low"/>
    <n v="2852"/>
    <n v="10"/>
    <n v="350"/>
    <n v="998200"/>
    <n v="19964"/>
    <n v="978236"/>
    <n v="741520"/>
    <n v="236716"/>
    <n v="0.24198250728862974"/>
    <d v="2014-12-01T00:00:00"/>
    <n v="12"/>
    <x v="2"/>
    <x v="0"/>
  </r>
  <r>
    <s v="Enterprise"/>
    <x v="3"/>
    <x v="0"/>
    <s v="Canada"/>
    <x v="2"/>
    <s v="Low"/>
    <n v="2729"/>
    <n v="10"/>
    <n v="125"/>
    <n v="341125"/>
    <n v="6822.5"/>
    <n v="334302.5"/>
    <n v="327480"/>
    <n v="6822.5"/>
    <n v="2.0408163265306121E-2"/>
    <d v="2014-12-01T00:00:00"/>
    <n v="12"/>
    <x v="2"/>
    <x v="0"/>
  </r>
  <r>
    <s v="Midmarket"/>
    <x v="1"/>
    <x v="4"/>
    <s v="Usa"/>
    <x v="2"/>
    <s v="Low"/>
    <n v="1925"/>
    <n v="10"/>
    <n v="15"/>
    <n v="28875"/>
    <n v="577.5"/>
    <n v="28297.5"/>
    <n v="19250"/>
    <n v="9047.5"/>
    <n v="0.31972789115646261"/>
    <d v="2013-12-01T00:00:00"/>
    <n v="12"/>
    <x v="2"/>
    <x v="1"/>
  </r>
  <r>
    <s v="Government"/>
    <x v="0"/>
    <x v="4"/>
    <s v="Usa"/>
    <x v="2"/>
    <s v="Low"/>
    <n v="2013"/>
    <n v="10"/>
    <n v="7"/>
    <n v="14091"/>
    <n v="281.82"/>
    <n v="13809.18"/>
    <n v="10065"/>
    <n v="3744.1800000000003"/>
    <n v="0.27113702623906705"/>
    <d v="2013-12-01T00:00:00"/>
    <n v="12"/>
    <x v="2"/>
    <x v="1"/>
  </r>
  <r>
    <s v="Channel Partners"/>
    <x v="2"/>
    <x v="2"/>
    <s v="France"/>
    <x v="2"/>
    <s v="Low"/>
    <n v="1055"/>
    <n v="10"/>
    <n v="12"/>
    <n v="12660"/>
    <n v="253.2"/>
    <n v="12406.8"/>
    <n v="3165"/>
    <n v="9241.7999999999993"/>
    <n v="0.74489795918367341"/>
    <d v="2014-12-01T00:00:00"/>
    <n v="12"/>
    <x v="2"/>
    <x v="0"/>
  </r>
  <r>
    <s v="Channel Partners"/>
    <x v="2"/>
    <x v="3"/>
    <s v="Mexico"/>
    <x v="2"/>
    <s v="Low"/>
    <n v="1084"/>
    <n v="10"/>
    <n v="12"/>
    <n v="13008"/>
    <n v="260.16000000000003"/>
    <n v="12747.84"/>
    <n v="3252"/>
    <n v="9495.84"/>
    <n v="0.74489795918367352"/>
    <d v="2014-12-01T00:00:00"/>
    <n v="12"/>
    <x v="2"/>
    <x v="0"/>
  </r>
  <r>
    <s v="Government"/>
    <x v="0"/>
    <x v="4"/>
    <s v="Usa"/>
    <x v="3"/>
    <s v="Low"/>
    <n v="1566"/>
    <n v="120"/>
    <n v="20"/>
    <n v="31320"/>
    <n v="626.4"/>
    <n v="30693.599999999999"/>
    <n v="15660"/>
    <n v="15033.599999999999"/>
    <n v="0.48979591836734693"/>
    <d v="2014-10-01T00:00:00"/>
    <n v="10"/>
    <x v="7"/>
    <x v="0"/>
  </r>
  <r>
    <s v="Government"/>
    <x v="0"/>
    <x v="1"/>
    <s v="Germany"/>
    <x v="3"/>
    <s v="Low"/>
    <n v="2966"/>
    <n v="120"/>
    <n v="350"/>
    <n v="1038100"/>
    <n v="20762"/>
    <n v="1017338"/>
    <n v="771160"/>
    <n v="246178"/>
    <n v="0.24198250728862974"/>
    <d v="2013-10-01T00:00:00"/>
    <n v="10"/>
    <x v="7"/>
    <x v="1"/>
  </r>
  <r>
    <s v="Government"/>
    <x v="0"/>
    <x v="1"/>
    <s v="Germany"/>
    <x v="3"/>
    <s v="Low"/>
    <n v="2877"/>
    <n v="120"/>
    <n v="350"/>
    <n v="1006950"/>
    <n v="20139"/>
    <n v="986811"/>
    <n v="748020"/>
    <n v="238791"/>
    <n v="0.24198250728862974"/>
    <d v="2014-10-01T00:00:00"/>
    <n v="10"/>
    <x v="7"/>
    <x v="0"/>
  </r>
  <r>
    <s v="Enterprise"/>
    <x v="3"/>
    <x v="1"/>
    <s v="Germany"/>
    <x v="3"/>
    <s v="Low"/>
    <n v="809"/>
    <n v="120"/>
    <n v="125"/>
    <n v="101125"/>
    <n v="2022.5"/>
    <n v="99102.5"/>
    <n v="97080"/>
    <n v="2022.5"/>
    <n v="2.0408163265306121E-2"/>
    <d v="2013-10-01T00:00:00"/>
    <n v="10"/>
    <x v="7"/>
    <x v="1"/>
  </r>
  <r>
    <s v="Enterprise"/>
    <x v="3"/>
    <x v="3"/>
    <s v="Mexico"/>
    <x v="3"/>
    <s v="Low"/>
    <n v="2145"/>
    <n v="120"/>
    <n v="125"/>
    <n v="268125"/>
    <n v="5362.5"/>
    <n v="262762.5"/>
    <n v="257400"/>
    <n v="5362.5"/>
    <n v="2.0408163265306121E-2"/>
    <d v="2013-10-01T00:00:00"/>
    <n v="10"/>
    <x v="7"/>
    <x v="1"/>
  </r>
  <r>
    <s v="Channel Partners"/>
    <x v="2"/>
    <x v="2"/>
    <s v="France"/>
    <x v="3"/>
    <s v="Low"/>
    <n v="1055"/>
    <n v="120"/>
    <n v="12"/>
    <n v="12660"/>
    <n v="253.2"/>
    <n v="12406.8"/>
    <n v="3165"/>
    <n v="9241.7999999999993"/>
    <n v="0.74489795918367341"/>
    <d v="2014-12-01T00:00:00"/>
    <n v="12"/>
    <x v="2"/>
    <x v="0"/>
  </r>
  <r>
    <s v="Government"/>
    <x v="0"/>
    <x v="3"/>
    <s v="Mexico"/>
    <x v="3"/>
    <s v="Low"/>
    <n v="544"/>
    <n v="120"/>
    <n v="20"/>
    <n v="10880"/>
    <n v="217.6"/>
    <n v="10662.4"/>
    <n v="5440"/>
    <n v="5222.3999999999996"/>
    <n v="0.48979591836734693"/>
    <d v="2013-12-01T00:00:00"/>
    <n v="12"/>
    <x v="2"/>
    <x v="1"/>
  </r>
  <r>
    <s v="Channel Partners"/>
    <x v="2"/>
    <x v="3"/>
    <s v="Mexico"/>
    <x v="3"/>
    <s v="Low"/>
    <n v="1084"/>
    <n v="120"/>
    <n v="12"/>
    <n v="13008"/>
    <n v="260.16000000000003"/>
    <n v="12747.84"/>
    <n v="3252"/>
    <n v="9495.84"/>
    <n v="0.74489795918367352"/>
    <d v="2014-12-01T00:00:00"/>
    <n v="12"/>
    <x v="2"/>
    <x v="0"/>
  </r>
  <r>
    <s v="Enterprise"/>
    <x v="3"/>
    <x v="3"/>
    <s v="Mexico"/>
    <x v="4"/>
    <s v="Low"/>
    <n v="662"/>
    <n v="250"/>
    <n v="125"/>
    <n v="82750"/>
    <n v="1655"/>
    <n v="81095"/>
    <n v="79440"/>
    <n v="1655"/>
    <n v="2.0408163265306121E-2"/>
    <d v="2014-06-01T00:00:00"/>
    <n v="6"/>
    <x v="1"/>
    <x v="0"/>
  </r>
  <r>
    <s v="small business"/>
    <x v="4"/>
    <x v="1"/>
    <s v="Germany"/>
    <x v="4"/>
    <s v="Low"/>
    <n v="214"/>
    <n v="250"/>
    <n v="300"/>
    <n v="64200"/>
    <n v="1284"/>
    <n v="62916"/>
    <n v="53500"/>
    <n v="9416"/>
    <n v="0.14965986394557823"/>
    <d v="2013-10-01T00:00:00"/>
    <n v="10"/>
    <x v="7"/>
    <x v="1"/>
  </r>
  <r>
    <s v="Government"/>
    <x v="0"/>
    <x v="1"/>
    <s v="Germany"/>
    <x v="4"/>
    <s v="Low"/>
    <n v="2877"/>
    <n v="250"/>
    <n v="350"/>
    <n v="1006950"/>
    <n v="20139"/>
    <n v="986811"/>
    <n v="748020"/>
    <n v="238791"/>
    <n v="0.24198250728862974"/>
    <d v="2014-10-01T00:00:00"/>
    <n v="10"/>
    <x v="7"/>
    <x v="0"/>
  </r>
  <r>
    <s v="Enterprise"/>
    <x v="3"/>
    <x v="0"/>
    <s v="Canada"/>
    <x v="4"/>
    <s v="Low"/>
    <n v="2729"/>
    <n v="250"/>
    <n v="125"/>
    <n v="341125"/>
    <n v="6822.5"/>
    <n v="334302.5"/>
    <n v="327480"/>
    <n v="6822.5"/>
    <n v="2.0408163265306121E-2"/>
    <d v="2014-12-01T00:00:00"/>
    <n v="12"/>
    <x v="2"/>
    <x v="0"/>
  </r>
  <r>
    <s v="Government"/>
    <x v="0"/>
    <x v="4"/>
    <s v="Usa"/>
    <x v="4"/>
    <s v="Low"/>
    <n v="266"/>
    <n v="250"/>
    <n v="350"/>
    <n v="93100"/>
    <n v="1862"/>
    <n v="91238"/>
    <n v="69160"/>
    <n v="22078"/>
    <n v="0.24198250728862974"/>
    <d v="2013-12-01T00:00:00"/>
    <n v="12"/>
    <x v="2"/>
    <x v="1"/>
  </r>
  <r>
    <s v="Government"/>
    <x v="0"/>
    <x v="3"/>
    <s v="Mexico"/>
    <x v="4"/>
    <s v="Low"/>
    <n v="1940"/>
    <n v="250"/>
    <n v="350"/>
    <n v="679000"/>
    <n v="13580"/>
    <n v="665420"/>
    <n v="504400"/>
    <n v="161020"/>
    <n v="0.24198250728862974"/>
    <d v="2013-12-01T00:00:00"/>
    <n v="12"/>
    <x v="2"/>
    <x v="1"/>
  </r>
  <r>
    <s v="small business"/>
    <x v="4"/>
    <x v="1"/>
    <s v="Germany"/>
    <x v="5"/>
    <s v="Low"/>
    <n v="259"/>
    <n v="260"/>
    <n v="300"/>
    <n v="77700"/>
    <n v="1554"/>
    <n v="76146"/>
    <n v="64750"/>
    <n v="11396"/>
    <n v="0.14965986394557823"/>
    <d v="2014-03-01T00:00:00"/>
    <n v="3"/>
    <x v="3"/>
    <x v="0"/>
  </r>
  <r>
    <s v="small business"/>
    <x v="4"/>
    <x v="3"/>
    <s v="Mexico"/>
    <x v="5"/>
    <s v="Low"/>
    <n v="1101"/>
    <n v="260"/>
    <n v="300"/>
    <n v="330300"/>
    <n v="6606"/>
    <n v="323694"/>
    <n v="275250"/>
    <n v="48444"/>
    <n v="0.14965986394557823"/>
    <d v="2014-03-01T00:00:00"/>
    <n v="3"/>
    <x v="3"/>
    <x v="0"/>
  </r>
  <r>
    <s v="Enterprise"/>
    <x v="3"/>
    <x v="1"/>
    <s v="Germany"/>
    <x v="5"/>
    <s v="Low"/>
    <n v="2276"/>
    <n v="260"/>
    <n v="125"/>
    <n v="284500"/>
    <n v="5690"/>
    <n v="278810"/>
    <n v="273120"/>
    <n v="5690"/>
    <n v="2.0408163265306121E-2"/>
    <d v="2014-05-01T00:00:00"/>
    <n v="5"/>
    <x v="11"/>
    <x v="0"/>
  </r>
  <r>
    <s v="Government"/>
    <x v="0"/>
    <x v="1"/>
    <s v="Germany"/>
    <x v="5"/>
    <s v="Low"/>
    <n v="2966"/>
    <n v="260"/>
    <n v="350"/>
    <n v="1038100"/>
    <n v="20762"/>
    <n v="1017338"/>
    <n v="771160"/>
    <n v="246178"/>
    <n v="0.24198250728862974"/>
    <d v="2013-10-01T00:00:00"/>
    <n v="10"/>
    <x v="7"/>
    <x v="1"/>
  </r>
  <r>
    <s v="Government"/>
    <x v="0"/>
    <x v="4"/>
    <s v="Usa"/>
    <x v="5"/>
    <s v="Low"/>
    <n v="1236"/>
    <n v="260"/>
    <n v="20"/>
    <n v="24720"/>
    <n v="494.4"/>
    <n v="24225.599999999999"/>
    <n v="12360"/>
    <n v="11865.599999999999"/>
    <n v="0.48979591836734693"/>
    <d v="2014-11-01T00:00:00"/>
    <n v="11"/>
    <x v="9"/>
    <x v="0"/>
  </r>
  <r>
    <s v="Government"/>
    <x v="0"/>
    <x v="2"/>
    <s v="France"/>
    <x v="5"/>
    <s v="Low"/>
    <n v="941"/>
    <n v="260"/>
    <n v="20"/>
    <n v="18820"/>
    <n v="376.4"/>
    <n v="18443.599999999999"/>
    <n v="9410"/>
    <n v="9033.5999999999985"/>
    <n v="0.48979591836734687"/>
    <d v="2014-11-01T00:00:00"/>
    <n v="11"/>
    <x v="9"/>
    <x v="0"/>
  </r>
  <r>
    <s v="small business"/>
    <x v="4"/>
    <x v="0"/>
    <s v="Canada"/>
    <x v="5"/>
    <s v="Low"/>
    <n v="1916"/>
    <n v="260"/>
    <n v="300"/>
    <n v="574800"/>
    <n v="11496"/>
    <n v="563304"/>
    <n v="479000"/>
    <n v="84304"/>
    <n v="0.14965986394557823"/>
    <d v="2014-12-01T00:00:00"/>
    <n v="12"/>
    <x v="2"/>
    <x v="0"/>
  </r>
  <r>
    <s v="Enterprise"/>
    <x v="3"/>
    <x v="2"/>
    <s v="France"/>
    <x v="0"/>
    <s v="Low"/>
    <n v="4243.5"/>
    <n v="3"/>
    <n v="125"/>
    <n v="530437.5"/>
    <n v="15913.125"/>
    <n v="514524.375"/>
    <n v="509220"/>
    <n v="5304.375"/>
    <n v="1.0309278350515464E-2"/>
    <d v="2014-04-01T00:00:00"/>
    <n v="4"/>
    <x v="10"/>
    <x v="0"/>
  </r>
  <r>
    <s v="Government"/>
    <x v="0"/>
    <x v="1"/>
    <s v="Germany"/>
    <x v="0"/>
    <s v="Low"/>
    <n v="2580"/>
    <n v="3"/>
    <n v="20"/>
    <n v="51600"/>
    <n v="1548"/>
    <n v="50052"/>
    <n v="25800"/>
    <n v="24252"/>
    <n v="0.4845360824742268"/>
    <d v="2014-04-01T00:00:00"/>
    <n v="4"/>
    <x v="10"/>
    <x v="0"/>
  </r>
  <r>
    <s v="small business"/>
    <x v="4"/>
    <x v="1"/>
    <s v="Germany"/>
    <x v="0"/>
    <s v="Low"/>
    <n v="689"/>
    <n v="3"/>
    <n v="300"/>
    <n v="206700"/>
    <n v="6201"/>
    <n v="200499"/>
    <n v="172250"/>
    <n v="28249"/>
    <n v="0.14089347079037801"/>
    <d v="2014-06-01T00:00:00"/>
    <n v="6"/>
    <x v="1"/>
    <x v="0"/>
  </r>
  <r>
    <s v="Channel Partners"/>
    <x v="2"/>
    <x v="4"/>
    <s v="Usa"/>
    <x v="0"/>
    <s v="Low"/>
    <n v="1947"/>
    <n v="3"/>
    <n v="12"/>
    <n v="23364"/>
    <n v="700.92"/>
    <n v="22663.08"/>
    <n v="5841"/>
    <n v="16822.080000000002"/>
    <n v="0.74226804123711343"/>
    <d v="2014-09-01T00:00:00"/>
    <n v="9"/>
    <x v="6"/>
    <x v="0"/>
  </r>
  <r>
    <s v="Channel Partners"/>
    <x v="2"/>
    <x v="0"/>
    <s v="Canada"/>
    <x v="0"/>
    <s v="Low"/>
    <n v="908"/>
    <n v="3"/>
    <n v="12"/>
    <n v="10896"/>
    <n v="326.88"/>
    <n v="10569.12"/>
    <n v="2724"/>
    <n v="7845.1200000000008"/>
    <n v="0.74226804123711343"/>
    <d v="2013-12-01T00:00:00"/>
    <n v="12"/>
    <x v="2"/>
    <x v="1"/>
  </r>
  <r>
    <s v="Government"/>
    <x v="0"/>
    <x v="1"/>
    <s v="Germany"/>
    <x v="1"/>
    <s v="Low"/>
    <n v="1958"/>
    <n v="5"/>
    <n v="7"/>
    <n v="13706"/>
    <n v="411.18"/>
    <n v="13294.82"/>
    <n v="9790"/>
    <n v="3504.8199999999997"/>
    <n v="0.26362297496318116"/>
    <d v="2014-02-01T00:00:00"/>
    <n v="2"/>
    <x v="8"/>
    <x v="0"/>
  </r>
  <r>
    <s v="Channel Partners"/>
    <x v="2"/>
    <x v="2"/>
    <s v="France"/>
    <x v="1"/>
    <s v="Low"/>
    <n v="1901"/>
    <n v="5"/>
    <n v="12"/>
    <n v="22812"/>
    <n v="684.36"/>
    <n v="22127.64"/>
    <n v="5703"/>
    <n v="16424.64"/>
    <n v="0.74226804123711343"/>
    <d v="2014-06-01T00:00:00"/>
    <n v="6"/>
    <x v="1"/>
    <x v="0"/>
  </r>
  <r>
    <s v="Government"/>
    <x v="0"/>
    <x v="2"/>
    <s v="France"/>
    <x v="1"/>
    <s v="Low"/>
    <n v="544"/>
    <n v="5"/>
    <n v="7"/>
    <n v="3808"/>
    <n v="114.24"/>
    <n v="3693.76"/>
    <n v="2720"/>
    <n v="973.76000000000022"/>
    <n v="0.26362297496318121"/>
    <d v="2014-09-01T00:00:00"/>
    <n v="9"/>
    <x v="6"/>
    <x v="0"/>
  </r>
  <r>
    <s v="Government"/>
    <x v="0"/>
    <x v="1"/>
    <s v="Germany"/>
    <x v="1"/>
    <s v="Low"/>
    <n v="1797"/>
    <n v="5"/>
    <n v="350"/>
    <n v="628950"/>
    <n v="18868.5"/>
    <n v="610081.5"/>
    <n v="467220"/>
    <n v="142861.5"/>
    <n v="0.2341678939617084"/>
    <d v="2013-09-01T00:00:00"/>
    <n v="9"/>
    <x v="6"/>
    <x v="1"/>
  </r>
  <r>
    <s v="Enterprise"/>
    <x v="3"/>
    <x v="2"/>
    <s v="France"/>
    <x v="1"/>
    <s v="Low"/>
    <n v="1287"/>
    <n v="5"/>
    <n v="125"/>
    <n v="160875"/>
    <n v="4826.25"/>
    <n v="156048.75"/>
    <n v="154440"/>
    <n v="1608.75"/>
    <n v="1.0309278350515464E-2"/>
    <d v="2014-12-01T00:00:00"/>
    <n v="12"/>
    <x v="2"/>
    <x v="0"/>
  </r>
  <r>
    <s v="Enterprise"/>
    <x v="3"/>
    <x v="1"/>
    <s v="Germany"/>
    <x v="1"/>
    <s v="Low"/>
    <n v="1706"/>
    <n v="5"/>
    <n v="125"/>
    <n v="213250"/>
    <n v="6397.5"/>
    <n v="206852.5"/>
    <n v="204720"/>
    <n v="2132.5"/>
    <n v="1.0309278350515464E-2"/>
    <d v="2014-12-01T00:00:00"/>
    <n v="12"/>
    <x v="2"/>
    <x v="0"/>
  </r>
  <r>
    <s v="small business"/>
    <x v="4"/>
    <x v="2"/>
    <s v="France"/>
    <x v="2"/>
    <s v="Low"/>
    <n v="2434.5"/>
    <n v="10"/>
    <n v="300"/>
    <n v="730350"/>
    <n v="21910.5"/>
    <n v="708439.5"/>
    <n v="608625"/>
    <n v="99814.5"/>
    <n v="0.14089347079037801"/>
    <d v="2014-01-01T00:00:00"/>
    <n v="1"/>
    <x v="0"/>
    <x v="0"/>
  </r>
  <r>
    <s v="Enterprise"/>
    <x v="3"/>
    <x v="0"/>
    <s v="Canada"/>
    <x v="2"/>
    <s v="Low"/>
    <n v="1774"/>
    <n v="10"/>
    <n v="125"/>
    <n v="221750"/>
    <n v="6652.5"/>
    <n v="215097.5"/>
    <n v="212880"/>
    <n v="2217.5"/>
    <n v="1.0309278350515464E-2"/>
    <d v="2014-03-01T00:00:00"/>
    <n v="3"/>
    <x v="3"/>
    <x v="0"/>
  </r>
  <r>
    <s v="Channel Partners"/>
    <x v="2"/>
    <x v="2"/>
    <s v="France"/>
    <x v="2"/>
    <s v="Low"/>
    <n v="1901"/>
    <n v="10"/>
    <n v="12"/>
    <n v="22812"/>
    <n v="684.36"/>
    <n v="22127.64"/>
    <n v="5703"/>
    <n v="16424.64"/>
    <n v="0.74226804123711343"/>
    <d v="2014-06-01T00:00:00"/>
    <n v="6"/>
    <x v="1"/>
    <x v="0"/>
  </r>
  <r>
    <s v="small business"/>
    <x v="4"/>
    <x v="1"/>
    <s v="Germany"/>
    <x v="2"/>
    <s v="Low"/>
    <n v="689"/>
    <n v="10"/>
    <n v="300"/>
    <n v="206700"/>
    <n v="6201"/>
    <n v="200499"/>
    <n v="172250"/>
    <n v="28249"/>
    <n v="0.14089347079037801"/>
    <d v="2014-06-01T00:00:00"/>
    <n v="6"/>
    <x v="1"/>
    <x v="0"/>
  </r>
  <r>
    <s v="Enterprise"/>
    <x v="3"/>
    <x v="1"/>
    <s v="Germany"/>
    <x v="2"/>
    <s v="Low"/>
    <n v="1570"/>
    <n v="10"/>
    <n v="125"/>
    <n v="196250"/>
    <n v="5887.5"/>
    <n v="190362.5"/>
    <n v="188400"/>
    <n v="1962.5"/>
    <n v="1.0309278350515464E-2"/>
    <d v="2014-06-01T00:00:00"/>
    <n v="6"/>
    <x v="1"/>
    <x v="0"/>
  </r>
  <r>
    <s v="Channel Partners"/>
    <x v="2"/>
    <x v="4"/>
    <s v="Usa"/>
    <x v="2"/>
    <s v="Low"/>
    <n v="1369.5"/>
    <n v="10"/>
    <n v="12"/>
    <n v="16434"/>
    <n v="493.02"/>
    <n v="15940.98"/>
    <n v="4108.5"/>
    <n v="11832.48"/>
    <n v="0.74226804123711343"/>
    <d v="2014-07-01T00:00:00"/>
    <n v="7"/>
    <x v="4"/>
    <x v="0"/>
  </r>
  <r>
    <s v="Enterprise"/>
    <x v="3"/>
    <x v="0"/>
    <s v="Canada"/>
    <x v="2"/>
    <s v="Low"/>
    <n v="2009"/>
    <n v="10"/>
    <n v="125"/>
    <n v="251125"/>
    <n v="7533.75"/>
    <n v="243591.25"/>
    <n v="241080"/>
    <n v="2511.25"/>
    <n v="1.0309278350515464E-2"/>
    <d v="2014-10-01T00:00:00"/>
    <n v="10"/>
    <x v="7"/>
    <x v="0"/>
  </r>
  <r>
    <s v="Midmarket"/>
    <x v="1"/>
    <x v="1"/>
    <s v="Germany"/>
    <x v="2"/>
    <s v="Low"/>
    <n v="1945"/>
    <n v="10"/>
    <n v="15"/>
    <n v="29175"/>
    <n v="875.25"/>
    <n v="28299.75"/>
    <n v="19450"/>
    <n v="8849.75"/>
    <n v="0.3127147766323024"/>
    <d v="2013-10-01T00:00:00"/>
    <n v="10"/>
    <x v="7"/>
    <x v="1"/>
  </r>
  <r>
    <s v="Enterprise"/>
    <x v="3"/>
    <x v="2"/>
    <s v="France"/>
    <x v="2"/>
    <s v="Low"/>
    <n v="1287"/>
    <n v="10"/>
    <n v="125"/>
    <n v="160875"/>
    <n v="4826.25"/>
    <n v="156048.75"/>
    <n v="154440"/>
    <n v="1608.75"/>
    <n v="1.0309278350515464E-2"/>
    <d v="2014-12-01T00:00:00"/>
    <n v="12"/>
    <x v="2"/>
    <x v="0"/>
  </r>
  <r>
    <s v="Enterprise"/>
    <x v="3"/>
    <x v="1"/>
    <s v="Germany"/>
    <x v="2"/>
    <s v="Low"/>
    <n v="1706"/>
    <n v="10"/>
    <n v="125"/>
    <n v="213250"/>
    <n v="6397.5"/>
    <n v="206852.5"/>
    <n v="204720"/>
    <n v="2132.5"/>
    <n v="1.0309278350515464E-2"/>
    <d v="2014-12-01T00:00:00"/>
    <n v="12"/>
    <x v="2"/>
    <x v="0"/>
  </r>
  <r>
    <s v="Enterprise"/>
    <x v="3"/>
    <x v="0"/>
    <s v="Canada"/>
    <x v="3"/>
    <s v="Low"/>
    <n v="2009"/>
    <n v="120"/>
    <n v="125"/>
    <n v="251125"/>
    <n v="7533.75"/>
    <n v="243591.25"/>
    <n v="241080"/>
    <n v="2511.25"/>
    <n v="1.0309278350515464E-2"/>
    <d v="2014-10-01T00:00:00"/>
    <n v="10"/>
    <x v="7"/>
    <x v="0"/>
  </r>
  <r>
    <s v="small business"/>
    <x v="4"/>
    <x v="4"/>
    <s v="Usa"/>
    <x v="4"/>
    <s v="Low"/>
    <n v="2844"/>
    <n v="250"/>
    <n v="300"/>
    <n v="853200"/>
    <n v="25596"/>
    <n v="827604"/>
    <n v="711000"/>
    <n v="116604"/>
    <n v="0.14089347079037801"/>
    <d v="2014-02-01T00:00:00"/>
    <n v="2"/>
    <x v="8"/>
    <x v="0"/>
  </r>
  <r>
    <s v="Channel Partners"/>
    <x v="2"/>
    <x v="3"/>
    <s v="Mexico"/>
    <x v="4"/>
    <s v="Low"/>
    <n v="1916"/>
    <n v="250"/>
    <n v="12"/>
    <n v="22992"/>
    <n v="689.76"/>
    <n v="22302.240000000002"/>
    <n v="5748"/>
    <n v="16554.240000000002"/>
    <n v="0.74226804123711343"/>
    <d v="2014-04-01T00:00:00"/>
    <n v="4"/>
    <x v="10"/>
    <x v="0"/>
  </r>
  <r>
    <s v="Enterprise"/>
    <x v="3"/>
    <x v="1"/>
    <s v="Germany"/>
    <x v="4"/>
    <s v="Low"/>
    <n v="1570"/>
    <n v="250"/>
    <n v="125"/>
    <n v="196250"/>
    <n v="5887.5"/>
    <n v="190362.5"/>
    <n v="188400"/>
    <n v="1962.5"/>
    <n v="1.0309278350515464E-2"/>
    <d v="2014-06-01T00:00:00"/>
    <n v="6"/>
    <x v="1"/>
    <x v="0"/>
  </r>
  <r>
    <s v="small business"/>
    <x v="4"/>
    <x v="0"/>
    <s v="Canada"/>
    <x v="4"/>
    <s v="Low"/>
    <n v="1874"/>
    <n v="250"/>
    <n v="300"/>
    <n v="562200"/>
    <n v="16866"/>
    <n v="545334"/>
    <n v="468500"/>
    <n v="76834"/>
    <n v="0.14089347079037801"/>
    <d v="2014-08-01T00:00:00"/>
    <n v="8"/>
    <x v="5"/>
    <x v="0"/>
  </r>
  <r>
    <s v="Government"/>
    <x v="0"/>
    <x v="3"/>
    <s v="Mexico"/>
    <x v="4"/>
    <s v="Low"/>
    <n v="1642"/>
    <n v="250"/>
    <n v="350"/>
    <n v="574700"/>
    <n v="17241"/>
    <n v="557459"/>
    <n v="426920"/>
    <n v="130539"/>
    <n v="0.2341678939617084"/>
    <d v="2014-08-01T00:00:00"/>
    <n v="8"/>
    <x v="5"/>
    <x v="0"/>
  </r>
  <r>
    <s v="Midmarket"/>
    <x v="1"/>
    <x v="1"/>
    <s v="Germany"/>
    <x v="4"/>
    <s v="Low"/>
    <n v="1945"/>
    <n v="250"/>
    <n v="15"/>
    <n v="29175"/>
    <n v="875.25"/>
    <n v="28299.75"/>
    <n v="19450"/>
    <n v="8849.75"/>
    <n v="0.3127147766323024"/>
    <d v="2013-10-01T00:00:00"/>
    <n v="10"/>
    <x v="7"/>
    <x v="1"/>
  </r>
  <r>
    <s v="Government"/>
    <x v="0"/>
    <x v="0"/>
    <s v="Canada"/>
    <x v="0"/>
    <s v="Low"/>
    <n v="831"/>
    <n v="3"/>
    <n v="20"/>
    <n v="16620"/>
    <n v="498.6"/>
    <n v="16121.4"/>
    <n v="8310"/>
    <n v="7811.4"/>
    <n v="0.4845360824742268"/>
    <d v="2014-05-01T00:00:00"/>
    <n v="5"/>
    <x v="11"/>
    <x v="0"/>
  </r>
  <r>
    <s v="Government"/>
    <x v="0"/>
    <x v="3"/>
    <s v="Mexico"/>
    <x v="2"/>
    <s v="Low"/>
    <n v="1760"/>
    <n v="10"/>
    <n v="7"/>
    <n v="12320"/>
    <n v="369.6"/>
    <n v="11950.4"/>
    <n v="8800"/>
    <n v="3150.3999999999996"/>
    <n v="0.2636229749631811"/>
    <d v="2013-09-01T00:00:00"/>
    <n v="9"/>
    <x v="6"/>
    <x v="1"/>
  </r>
  <r>
    <s v="Government"/>
    <x v="0"/>
    <x v="0"/>
    <s v="Canada"/>
    <x v="3"/>
    <s v="Low"/>
    <n v="3850.5"/>
    <n v="120"/>
    <n v="20"/>
    <n v="77010"/>
    <n v="2310.3000000000002"/>
    <n v="74699.7"/>
    <n v="38505"/>
    <n v="36194.699999999997"/>
    <n v="0.4845360824742268"/>
    <d v="2014-04-01T00:00:00"/>
    <n v="4"/>
    <x v="10"/>
    <x v="0"/>
  </r>
  <r>
    <s v="Channel Partners"/>
    <x v="2"/>
    <x v="1"/>
    <s v="Germany"/>
    <x v="4"/>
    <s v="Low"/>
    <n v="2479"/>
    <n v="250"/>
    <n v="12"/>
    <n v="29748"/>
    <n v="892.44"/>
    <n v="28855.56"/>
    <n v="7437"/>
    <n v="21418.560000000001"/>
    <n v="0.74226804123711343"/>
    <d v="2014-01-01T00:00:00"/>
    <n v="1"/>
    <x v="0"/>
    <x v="0"/>
  </r>
  <r>
    <s v="Midmarket"/>
    <x v="1"/>
    <x v="3"/>
    <s v="Mexico"/>
    <x v="1"/>
    <s v="Low"/>
    <n v="2031"/>
    <n v="5"/>
    <n v="15"/>
    <n v="30465"/>
    <n v="1218.5999999999999"/>
    <n v="29246.400000000001"/>
    <n v="20310"/>
    <n v="8936.4000000000015"/>
    <n v="0.30555555555555558"/>
    <d v="2014-10-01T00:00:00"/>
    <n v="10"/>
    <x v="7"/>
    <x v="0"/>
  </r>
  <r>
    <s v="Midmarket"/>
    <x v="1"/>
    <x v="3"/>
    <s v="Mexico"/>
    <x v="2"/>
    <s v="Low"/>
    <n v="2031"/>
    <n v="10"/>
    <n v="15"/>
    <n v="30465"/>
    <n v="1218.5999999999999"/>
    <n v="29246.400000000001"/>
    <n v="20310"/>
    <n v="8936.4000000000015"/>
    <n v="0.30555555555555558"/>
    <d v="2014-10-01T00:00:00"/>
    <n v="10"/>
    <x v="7"/>
    <x v="0"/>
  </r>
  <r>
    <s v="Midmarket"/>
    <x v="1"/>
    <x v="2"/>
    <s v="France"/>
    <x v="2"/>
    <s v="Low"/>
    <n v="2261"/>
    <n v="10"/>
    <n v="15"/>
    <n v="33915"/>
    <n v="1356.6"/>
    <n v="32558.400000000001"/>
    <n v="22610"/>
    <n v="9948.4000000000015"/>
    <n v="0.30555555555555558"/>
    <d v="2013-12-01T00:00:00"/>
    <n v="12"/>
    <x v="2"/>
    <x v="1"/>
  </r>
  <r>
    <s v="Government"/>
    <x v="0"/>
    <x v="4"/>
    <s v="Usa"/>
    <x v="3"/>
    <s v="Low"/>
    <n v="736"/>
    <n v="120"/>
    <n v="20"/>
    <n v="14720"/>
    <n v="588.79999999999995"/>
    <n v="14131.2"/>
    <n v="7360"/>
    <n v="6771.2000000000007"/>
    <n v="0.47916666666666669"/>
    <d v="2013-09-01T00:00:00"/>
    <n v="9"/>
    <x v="6"/>
    <x v="1"/>
  </r>
  <r>
    <s v="Government"/>
    <x v="0"/>
    <x v="0"/>
    <s v="Canada"/>
    <x v="0"/>
    <s v="Low"/>
    <n v="2851"/>
    <n v="3"/>
    <n v="7"/>
    <n v="19957"/>
    <n v="798.28"/>
    <n v="19158.72"/>
    <n v="14255"/>
    <n v="4903.7200000000012"/>
    <n v="0.25595238095238099"/>
    <d v="2013-10-01T00:00:00"/>
    <n v="10"/>
    <x v="7"/>
    <x v="1"/>
  </r>
  <r>
    <s v="small business"/>
    <x v="4"/>
    <x v="1"/>
    <s v="Germany"/>
    <x v="0"/>
    <s v="Low"/>
    <n v="2021"/>
    <n v="3"/>
    <n v="300"/>
    <n v="606300"/>
    <n v="24252"/>
    <n v="582048"/>
    <n v="505250"/>
    <n v="76798"/>
    <n v="0.13194444444444445"/>
    <d v="2014-10-01T00:00:00"/>
    <n v="10"/>
    <x v="7"/>
    <x v="0"/>
  </r>
  <r>
    <s v="Government"/>
    <x v="0"/>
    <x v="4"/>
    <s v="Usa"/>
    <x v="0"/>
    <s v="Low"/>
    <n v="274"/>
    <n v="3"/>
    <n v="350"/>
    <n v="95900"/>
    <n v="3836"/>
    <n v="92064"/>
    <n v="71240"/>
    <n v="20824"/>
    <n v="0.22619047619047619"/>
    <d v="2014-12-01T00:00:00"/>
    <n v="12"/>
    <x v="2"/>
    <x v="0"/>
  </r>
  <r>
    <s v="Midmarket"/>
    <x v="1"/>
    <x v="0"/>
    <s v="Canada"/>
    <x v="1"/>
    <s v="Low"/>
    <n v="1967"/>
    <n v="5"/>
    <n v="15"/>
    <n v="29505"/>
    <n v="1180.2"/>
    <n v="28324.799999999999"/>
    <n v="19670"/>
    <n v="8654.7999999999993"/>
    <n v="0.30555555555555552"/>
    <d v="2014-03-01T00:00:00"/>
    <n v="3"/>
    <x v="3"/>
    <x v="0"/>
  </r>
  <r>
    <s v="small business"/>
    <x v="4"/>
    <x v="1"/>
    <s v="Germany"/>
    <x v="1"/>
    <s v="Low"/>
    <n v="1859"/>
    <n v="5"/>
    <n v="300"/>
    <n v="557700"/>
    <n v="22308"/>
    <n v="535392"/>
    <n v="464750"/>
    <n v="70642"/>
    <n v="0.13194444444444445"/>
    <d v="2014-08-01T00:00:00"/>
    <n v="8"/>
    <x v="5"/>
    <x v="0"/>
  </r>
  <r>
    <s v="Government"/>
    <x v="0"/>
    <x v="0"/>
    <s v="Canada"/>
    <x v="1"/>
    <s v="Low"/>
    <n v="2851"/>
    <n v="5"/>
    <n v="7"/>
    <n v="19957"/>
    <n v="798.28"/>
    <n v="19158.72"/>
    <n v="14255"/>
    <n v="4903.7200000000012"/>
    <n v="0.25595238095238099"/>
    <d v="2013-10-01T00:00:00"/>
    <n v="10"/>
    <x v="7"/>
    <x v="1"/>
  </r>
  <r>
    <s v="small business"/>
    <x v="4"/>
    <x v="1"/>
    <s v="Germany"/>
    <x v="1"/>
    <s v="Low"/>
    <n v="2021"/>
    <n v="5"/>
    <n v="300"/>
    <n v="606300"/>
    <n v="24252"/>
    <n v="582048"/>
    <n v="505250"/>
    <n v="76798"/>
    <n v="0.13194444444444445"/>
    <d v="2014-10-01T00:00:00"/>
    <n v="10"/>
    <x v="7"/>
    <x v="0"/>
  </r>
  <r>
    <s v="Enterprise"/>
    <x v="3"/>
    <x v="3"/>
    <s v="Mexico"/>
    <x v="1"/>
    <s v="Low"/>
    <n v="1138"/>
    <n v="5"/>
    <n v="125"/>
    <n v="142250"/>
    <n v="5690"/>
    <n v="136560"/>
    <n v="136560"/>
    <n v="0"/>
    <n v="0"/>
    <d v="2014-12-01T00:00:00"/>
    <n v="12"/>
    <x v="2"/>
    <x v="0"/>
  </r>
  <r>
    <s v="Government"/>
    <x v="0"/>
    <x v="0"/>
    <s v="Canada"/>
    <x v="2"/>
    <s v="Low"/>
    <n v="4251"/>
    <n v="10"/>
    <n v="7"/>
    <n v="29757"/>
    <n v="1190.28"/>
    <n v="28566.720000000001"/>
    <n v="21255"/>
    <n v="7311.7200000000012"/>
    <n v="0.25595238095238099"/>
    <d v="2014-01-01T00:00:00"/>
    <n v="1"/>
    <x v="0"/>
    <x v="0"/>
  </r>
  <r>
    <s v="Enterprise"/>
    <x v="3"/>
    <x v="1"/>
    <s v="Germany"/>
    <x v="2"/>
    <s v="Low"/>
    <n v="795"/>
    <n v="10"/>
    <n v="125"/>
    <n v="99375"/>
    <n v="3975"/>
    <n v="95400"/>
    <n v="95400"/>
    <n v="0"/>
    <n v="0"/>
    <d v="2014-03-01T00:00:00"/>
    <n v="3"/>
    <x v="3"/>
    <x v="0"/>
  </r>
  <r>
    <s v="small business"/>
    <x v="4"/>
    <x v="1"/>
    <s v="Germany"/>
    <x v="2"/>
    <s v="Low"/>
    <n v="1414.5"/>
    <n v="10"/>
    <n v="300"/>
    <n v="424350"/>
    <n v="16974"/>
    <n v="407376"/>
    <n v="353625"/>
    <n v="53751"/>
    <n v="0.13194444444444445"/>
    <d v="2014-04-01T00:00:00"/>
    <n v="4"/>
    <x v="10"/>
    <x v="0"/>
  </r>
  <r>
    <s v="small business"/>
    <x v="4"/>
    <x v="4"/>
    <s v="Usa"/>
    <x v="2"/>
    <s v="Low"/>
    <n v="2918"/>
    <n v="10"/>
    <n v="300"/>
    <n v="875400"/>
    <n v="35016"/>
    <n v="840384"/>
    <n v="729500"/>
    <n v="110884"/>
    <n v="0.13194444444444445"/>
    <d v="2014-05-01T00:00:00"/>
    <n v="5"/>
    <x v="11"/>
    <x v="0"/>
  </r>
  <r>
    <s v="Government"/>
    <x v="0"/>
    <x v="4"/>
    <s v="Usa"/>
    <x v="2"/>
    <s v="Low"/>
    <n v="3450"/>
    <n v="10"/>
    <n v="350"/>
    <n v="1207500"/>
    <n v="48300"/>
    <n v="1159200"/>
    <n v="897000"/>
    <n v="262200"/>
    <n v="0.22619047619047619"/>
    <d v="2014-07-01T00:00:00"/>
    <n v="7"/>
    <x v="4"/>
    <x v="0"/>
  </r>
  <r>
    <s v="Enterprise"/>
    <x v="3"/>
    <x v="2"/>
    <s v="France"/>
    <x v="2"/>
    <s v="Low"/>
    <n v="2988"/>
    <n v="10"/>
    <n v="125"/>
    <n v="373500"/>
    <n v="14940"/>
    <n v="358560"/>
    <n v="358560"/>
    <n v="0"/>
    <n v="0"/>
    <d v="2014-07-01T00:00:00"/>
    <n v="7"/>
    <x v="4"/>
    <x v="0"/>
  </r>
  <r>
    <s v="Midmarket"/>
    <x v="1"/>
    <x v="0"/>
    <s v="Canada"/>
    <x v="2"/>
    <s v="Low"/>
    <n v="218"/>
    <n v="10"/>
    <n v="15"/>
    <n v="3270"/>
    <n v="130.80000000000001"/>
    <n v="3139.2"/>
    <n v="2180"/>
    <n v="959.19999999999982"/>
    <n v="0.30555555555555552"/>
    <d v="2014-09-01T00:00:00"/>
    <n v="9"/>
    <x v="6"/>
    <x v="0"/>
  </r>
  <r>
    <s v="Government"/>
    <x v="0"/>
    <x v="0"/>
    <s v="Canada"/>
    <x v="2"/>
    <s v="Low"/>
    <n v="2074"/>
    <n v="10"/>
    <n v="20"/>
    <n v="41480"/>
    <n v="1659.2"/>
    <n v="39820.800000000003"/>
    <n v="20740"/>
    <n v="19080.800000000003"/>
    <n v="0.47916666666666669"/>
    <d v="2014-09-01T00:00:00"/>
    <n v="9"/>
    <x v="6"/>
    <x v="0"/>
  </r>
  <r>
    <s v="Government"/>
    <x v="0"/>
    <x v="4"/>
    <s v="Usa"/>
    <x v="2"/>
    <s v="Low"/>
    <n v="1056"/>
    <n v="10"/>
    <n v="20"/>
    <n v="21120"/>
    <n v="844.8"/>
    <n v="20275.2"/>
    <n v="10560"/>
    <n v="9715.2000000000007"/>
    <n v="0.47916666666666669"/>
    <d v="2014-09-01T00:00:00"/>
    <n v="9"/>
    <x v="6"/>
    <x v="0"/>
  </r>
  <r>
    <s v="Midmarket"/>
    <x v="1"/>
    <x v="4"/>
    <s v="Usa"/>
    <x v="2"/>
    <s v="Low"/>
    <n v="671"/>
    <n v="10"/>
    <n v="15"/>
    <n v="10065"/>
    <n v="402.6"/>
    <n v="9662.4"/>
    <n v="6710"/>
    <n v="2952.3999999999996"/>
    <n v="0.30555555555555552"/>
    <d v="2013-10-01T00:00:00"/>
    <n v="10"/>
    <x v="7"/>
    <x v="1"/>
  </r>
  <r>
    <s v="Midmarket"/>
    <x v="1"/>
    <x v="3"/>
    <s v="Mexico"/>
    <x v="2"/>
    <s v="Low"/>
    <n v="1514"/>
    <n v="10"/>
    <n v="15"/>
    <n v="22710"/>
    <n v="908.4"/>
    <n v="21801.599999999999"/>
    <n v="15140"/>
    <n v="6661.5999999999985"/>
    <n v="0.30555555555555552"/>
    <d v="2013-10-01T00:00:00"/>
    <n v="10"/>
    <x v="7"/>
    <x v="1"/>
  </r>
  <r>
    <s v="Government"/>
    <x v="0"/>
    <x v="4"/>
    <s v="Usa"/>
    <x v="2"/>
    <s v="Low"/>
    <n v="274"/>
    <n v="10"/>
    <n v="350"/>
    <n v="95900"/>
    <n v="3836"/>
    <n v="92064"/>
    <n v="71240"/>
    <n v="20824"/>
    <n v="0.22619047619047619"/>
    <d v="2014-12-01T00:00:00"/>
    <n v="12"/>
    <x v="2"/>
    <x v="0"/>
  </r>
  <r>
    <s v="Enterprise"/>
    <x v="3"/>
    <x v="3"/>
    <s v="Mexico"/>
    <x v="2"/>
    <s v="Low"/>
    <n v="1138"/>
    <n v="10"/>
    <n v="125"/>
    <n v="142250"/>
    <n v="5690"/>
    <n v="136560"/>
    <n v="136560"/>
    <n v="0"/>
    <n v="0"/>
    <d v="2014-12-01T00:00:00"/>
    <n v="12"/>
    <x v="2"/>
    <x v="0"/>
  </r>
  <r>
    <s v="Channel Partners"/>
    <x v="2"/>
    <x v="4"/>
    <s v="Usa"/>
    <x v="3"/>
    <s v="Low"/>
    <n v="1465"/>
    <n v="120"/>
    <n v="12"/>
    <n v="17580"/>
    <n v="703.2"/>
    <n v="16876.8"/>
    <n v="4395"/>
    <n v="12481.8"/>
    <n v="0.73958333333333337"/>
    <d v="2014-03-01T00:00:00"/>
    <n v="3"/>
    <x v="3"/>
    <x v="0"/>
  </r>
  <r>
    <s v="Government"/>
    <x v="0"/>
    <x v="0"/>
    <s v="Canada"/>
    <x v="3"/>
    <s v="Low"/>
    <n v="2646"/>
    <n v="120"/>
    <n v="20"/>
    <n v="52920"/>
    <n v="2116.8000000000002"/>
    <n v="50803.199999999997"/>
    <n v="26460"/>
    <n v="24343.199999999997"/>
    <n v="0.47916666666666663"/>
    <d v="2013-09-01T00:00:00"/>
    <n v="9"/>
    <x v="6"/>
    <x v="1"/>
  </r>
  <r>
    <s v="Government"/>
    <x v="0"/>
    <x v="2"/>
    <s v="France"/>
    <x v="3"/>
    <s v="Low"/>
    <n v="2177"/>
    <n v="120"/>
    <n v="350"/>
    <n v="761950"/>
    <n v="30478"/>
    <n v="731472"/>
    <n v="566020"/>
    <n v="165452"/>
    <n v="0.22619047619047619"/>
    <d v="2014-10-01T00:00:00"/>
    <n v="10"/>
    <x v="7"/>
    <x v="0"/>
  </r>
  <r>
    <s v="Channel Partners"/>
    <x v="2"/>
    <x v="2"/>
    <s v="France"/>
    <x v="4"/>
    <s v="Low"/>
    <n v="866"/>
    <n v="250"/>
    <n v="12"/>
    <n v="10392"/>
    <n v="415.68"/>
    <n v="9976.32"/>
    <n v="2598"/>
    <n v="7378.32"/>
    <n v="0.73958333333333337"/>
    <d v="2014-05-01T00:00:00"/>
    <n v="5"/>
    <x v="11"/>
    <x v="0"/>
  </r>
  <r>
    <s v="Government"/>
    <x v="0"/>
    <x v="4"/>
    <s v="Usa"/>
    <x v="4"/>
    <s v="Low"/>
    <n v="349"/>
    <n v="250"/>
    <n v="350"/>
    <n v="122150"/>
    <n v="4886"/>
    <n v="117264"/>
    <n v="90740"/>
    <n v="26524"/>
    <n v="0.22619047619047619"/>
    <d v="2013-09-01T00:00:00"/>
    <n v="9"/>
    <x v="6"/>
    <x v="1"/>
  </r>
  <r>
    <s v="Government"/>
    <x v="0"/>
    <x v="2"/>
    <s v="France"/>
    <x v="4"/>
    <s v="Low"/>
    <n v="2177"/>
    <n v="250"/>
    <n v="350"/>
    <n v="761950"/>
    <n v="30478"/>
    <n v="731472"/>
    <n v="566020"/>
    <n v="165452"/>
    <n v="0.22619047619047619"/>
    <d v="2014-10-01T00:00:00"/>
    <n v="10"/>
    <x v="7"/>
    <x v="0"/>
  </r>
  <r>
    <s v="Midmarket"/>
    <x v="1"/>
    <x v="3"/>
    <s v="Mexico"/>
    <x v="4"/>
    <s v="Low"/>
    <n v="1514"/>
    <n v="250"/>
    <n v="15"/>
    <n v="22710"/>
    <n v="908.4"/>
    <n v="21801.599999999999"/>
    <n v="15140"/>
    <n v="6661.5999999999985"/>
    <n v="0.30555555555555552"/>
    <d v="2013-10-01T00:00:00"/>
    <n v="10"/>
    <x v="7"/>
    <x v="1"/>
  </r>
  <r>
    <s v="Government"/>
    <x v="0"/>
    <x v="3"/>
    <s v="Mexico"/>
    <x v="5"/>
    <s v="Low"/>
    <n v="1865"/>
    <n v="260"/>
    <n v="350"/>
    <n v="652750"/>
    <n v="26110"/>
    <n v="626640"/>
    <n v="484900"/>
    <n v="141740"/>
    <n v="0.22619047619047619"/>
    <d v="2014-02-01T00:00:00"/>
    <n v="2"/>
    <x v="8"/>
    <x v="0"/>
  </r>
  <r>
    <s v="Enterprise"/>
    <x v="3"/>
    <x v="3"/>
    <s v="Mexico"/>
    <x v="5"/>
    <s v="Low"/>
    <n v="1074"/>
    <n v="260"/>
    <n v="125"/>
    <n v="134250"/>
    <n v="5370"/>
    <n v="128880"/>
    <n v="128880"/>
    <n v="0"/>
    <n v="0"/>
    <d v="2014-04-01T00:00:00"/>
    <n v="4"/>
    <x v="10"/>
    <x v="0"/>
  </r>
  <r>
    <s v="Government"/>
    <x v="0"/>
    <x v="1"/>
    <s v="Germany"/>
    <x v="5"/>
    <s v="Low"/>
    <n v="1907"/>
    <n v="260"/>
    <n v="350"/>
    <n v="667450"/>
    <n v="26698"/>
    <n v="640752"/>
    <n v="495820"/>
    <n v="144932"/>
    <n v="0.22619047619047619"/>
    <d v="2014-09-01T00:00:00"/>
    <n v="9"/>
    <x v="6"/>
    <x v="0"/>
  </r>
  <r>
    <s v="Midmarket"/>
    <x v="1"/>
    <x v="4"/>
    <s v="Usa"/>
    <x v="5"/>
    <s v="Low"/>
    <n v="671"/>
    <n v="260"/>
    <n v="15"/>
    <n v="10065"/>
    <n v="402.6"/>
    <n v="9662.4"/>
    <n v="6710"/>
    <n v="2952.3999999999996"/>
    <n v="0.30555555555555552"/>
    <d v="2013-10-01T00:00:00"/>
    <n v="10"/>
    <x v="7"/>
    <x v="1"/>
  </r>
  <r>
    <s v="Government"/>
    <x v="0"/>
    <x v="0"/>
    <s v="Canada"/>
    <x v="5"/>
    <s v="Low"/>
    <n v="1778"/>
    <n v="260"/>
    <n v="350"/>
    <n v="622300"/>
    <n v="24892"/>
    <n v="597408"/>
    <n v="462280"/>
    <n v="135128"/>
    <n v="0.22619047619047619"/>
    <d v="2013-12-01T00:00:00"/>
    <n v="12"/>
    <x v="2"/>
    <x v="1"/>
  </r>
  <r>
    <s v="Government"/>
    <x v="0"/>
    <x v="1"/>
    <s v="Germany"/>
    <x v="1"/>
    <s v="Medium"/>
    <n v="1159"/>
    <n v="5"/>
    <n v="7"/>
    <n v="8113"/>
    <n v="405.65"/>
    <n v="7707.35"/>
    <n v="5795"/>
    <n v="1912.3500000000004"/>
    <n v="0.24812030075187974"/>
    <d v="2013-10-01T00:00:00"/>
    <n v="10"/>
    <x v="7"/>
    <x v="1"/>
  </r>
  <r>
    <s v="Government"/>
    <x v="0"/>
    <x v="1"/>
    <s v="Germany"/>
    <x v="2"/>
    <s v="Medium"/>
    <n v="1372"/>
    <n v="10"/>
    <n v="7"/>
    <n v="9604"/>
    <n v="480.2"/>
    <n v="9123.7999999999993"/>
    <n v="6860"/>
    <n v="2263.7999999999993"/>
    <n v="0.24812030075187963"/>
    <d v="2014-01-01T00:00:00"/>
    <n v="1"/>
    <x v="0"/>
    <x v="0"/>
  </r>
  <r>
    <s v="Government"/>
    <x v="0"/>
    <x v="0"/>
    <s v="Canada"/>
    <x v="2"/>
    <s v="Medium"/>
    <n v="2349"/>
    <n v="10"/>
    <n v="7"/>
    <n v="16443"/>
    <n v="822.15"/>
    <n v="15620.85"/>
    <n v="11745"/>
    <n v="3875.8500000000004"/>
    <n v="0.24812030075187971"/>
    <d v="2013-09-01T00:00:00"/>
    <n v="9"/>
    <x v="6"/>
    <x v="1"/>
  </r>
  <r>
    <s v="Government"/>
    <x v="0"/>
    <x v="3"/>
    <s v="Mexico"/>
    <x v="2"/>
    <s v="Medium"/>
    <n v="2689"/>
    <n v="10"/>
    <n v="7"/>
    <n v="18823"/>
    <n v="941.15"/>
    <n v="17881.849999999999"/>
    <n v="13445"/>
    <n v="4436.8499999999985"/>
    <n v="0.24812030075187963"/>
    <d v="2014-10-01T00:00:00"/>
    <n v="10"/>
    <x v="7"/>
    <x v="0"/>
  </r>
  <r>
    <s v="Channel Partners"/>
    <x v="2"/>
    <x v="0"/>
    <s v="Canada"/>
    <x v="2"/>
    <s v="Medium"/>
    <n v="2431"/>
    <n v="10"/>
    <n v="12"/>
    <n v="29172"/>
    <n v="1458.6"/>
    <n v="27713.4"/>
    <n v="7293"/>
    <n v="20420.400000000001"/>
    <n v="0.73684210526315785"/>
    <d v="2014-12-01T00:00:00"/>
    <n v="12"/>
    <x v="2"/>
    <x v="0"/>
  </r>
  <r>
    <s v="Channel Partners"/>
    <x v="2"/>
    <x v="0"/>
    <s v="Canada"/>
    <x v="3"/>
    <s v="Medium"/>
    <n v="2431"/>
    <n v="120"/>
    <n v="12"/>
    <n v="29172"/>
    <n v="1458.6"/>
    <n v="27713.4"/>
    <n v="7293"/>
    <n v="20420.400000000001"/>
    <n v="0.73684210526315785"/>
    <d v="2014-12-01T00:00:00"/>
    <n v="12"/>
    <x v="2"/>
    <x v="0"/>
  </r>
  <r>
    <s v="Government"/>
    <x v="0"/>
    <x v="3"/>
    <s v="Mexico"/>
    <x v="4"/>
    <s v="Medium"/>
    <n v="2689"/>
    <n v="250"/>
    <n v="7"/>
    <n v="18823"/>
    <n v="941.15"/>
    <n v="17881.849999999999"/>
    <n v="13445"/>
    <n v="4436.8499999999985"/>
    <n v="0.24812030075187963"/>
    <d v="2014-10-01T00:00:00"/>
    <n v="10"/>
    <x v="7"/>
    <x v="0"/>
  </r>
  <r>
    <s v="Government"/>
    <x v="0"/>
    <x v="3"/>
    <s v="Mexico"/>
    <x v="5"/>
    <s v="Medium"/>
    <n v="1683"/>
    <n v="260"/>
    <n v="7"/>
    <n v="11781"/>
    <n v="589.04999999999995"/>
    <n v="11191.95"/>
    <n v="8415"/>
    <n v="2776.9500000000007"/>
    <n v="0.24812030075187974"/>
    <d v="2014-07-01T00:00:00"/>
    <n v="7"/>
    <x v="4"/>
    <x v="0"/>
  </r>
  <r>
    <s v="Channel Partners"/>
    <x v="2"/>
    <x v="3"/>
    <s v="Mexico"/>
    <x v="5"/>
    <s v="Medium"/>
    <n v="1123"/>
    <n v="260"/>
    <n v="12"/>
    <n v="13476"/>
    <n v="673.8"/>
    <n v="12802.2"/>
    <n v="3369"/>
    <n v="9433.2000000000007"/>
    <n v="0.73684210526315796"/>
    <d v="2014-08-01T00:00:00"/>
    <n v="8"/>
    <x v="5"/>
    <x v="0"/>
  </r>
  <r>
    <s v="Government"/>
    <x v="0"/>
    <x v="1"/>
    <s v="Germany"/>
    <x v="5"/>
    <s v="Medium"/>
    <n v="1159"/>
    <n v="260"/>
    <n v="7"/>
    <n v="8113"/>
    <n v="405.65"/>
    <n v="7707.35"/>
    <n v="5795"/>
    <n v="1912.3500000000004"/>
    <n v="0.24812030075187974"/>
    <d v="2013-10-01T00:00:00"/>
    <n v="10"/>
    <x v="7"/>
    <x v="1"/>
  </r>
  <r>
    <s v="Channel Partners"/>
    <x v="2"/>
    <x v="2"/>
    <s v="France"/>
    <x v="0"/>
    <s v="Medium"/>
    <n v="1865"/>
    <n v="3"/>
    <n v="12"/>
    <n v="22380"/>
    <n v="1119"/>
    <n v="21261"/>
    <n v="5595"/>
    <n v="15666"/>
    <n v="0.73684210526315785"/>
    <d v="2014-02-01T00:00:00"/>
    <n v="2"/>
    <x v="8"/>
    <x v="0"/>
  </r>
  <r>
    <s v="Channel Partners"/>
    <x v="2"/>
    <x v="1"/>
    <s v="Germany"/>
    <x v="0"/>
    <s v="Medium"/>
    <n v="1116"/>
    <n v="3"/>
    <n v="12"/>
    <n v="13392"/>
    <n v="669.6"/>
    <n v="12722.4"/>
    <n v="3348"/>
    <n v="9374.4"/>
    <n v="0.73684210526315785"/>
    <d v="2014-02-01T00:00:00"/>
    <n v="2"/>
    <x v="8"/>
    <x v="0"/>
  </r>
  <r>
    <s v="Government"/>
    <x v="0"/>
    <x v="2"/>
    <s v="France"/>
    <x v="0"/>
    <s v="Medium"/>
    <n v="1563"/>
    <n v="3"/>
    <n v="20"/>
    <n v="31260"/>
    <n v="1563"/>
    <n v="29697"/>
    <n v="15630"/>
    <n v="14067"/>
    <n v="0.47368421052631576"/>
    <d v="2014-05-01T00:00:00"/>
    <n v="5"/>
    <x v="11"/>
    <x v="0"/>
  </r>
  <r>
    <s v="small business"/>
    <x v="4"/>
    <x v="4"/>
    <s v="Usa"/>
    <x v="0"/>
    <s v="Medium"/>
    <n v="991"/>
    <n v="3"/>
    <n v="300"/>
    <n v="297300"/>
    <n v="14865"/>
    <n v="282435"/>
    <n v="247750"/>
    <n v="34685"/>
    <n v="0.12280701754385964"/>
    <d v="2014-06-01T00:00:00"/>
    <n v="6"/>
    <x v="1"/>
    <x v="0"/>
  </r>
  <r>
    <s v="Government"/>
    <x v="0"/>
    <x v="1"/>
    <s v="Germany"/>
    <x v="0"/>
    <s v="Medium"/>
    <n v="1016"/>
    <n v="3"/>
    <n v="7"/>
    <n v="7112"/>
    <n v="355.6"/>
    <n v="6756.4"/>
    <n v="5080"/>
    <n v="1676.3999999999996"/>
    <n v="0.24812030075187966"/>
    <d v="2013-11-01T00:00:00"/>
    <n v="11"/>
    <x v="9"/>
    <x v="1"/>
  </r>
  <r>
    <s v="Midmarket"/>
    <x v="1"/>
    <x v="3"/>
    <s v="Mexico"/>
    <x v="0"/>
    <s v="Medium"/>
    <n v="2791"/>
    <n v="3"/>
    <n v="15"/>
    <n v="41865"/>
    <n v="2093.25"/>
    <n v="39771.75"/>
    <n v="27910"/>
    <n v="11861.75"/>
    <n v="0.2982456140350877"/>
    <d v="2014-11-01T00:00:00"/>
    <n v="11"/>
    <x v="9"/>
    <x v="0"/>
  </r>
  <r>
    <s v="Government"/>
    <x v="0"/>
    <x v="4"/>
    <s v="Usa"/>
    <x v="0"/>
    <s v="Medium"/>
    <n v="570"/>
    <n v="3"/>
    <n v="7"/>
    <n v="3990"/>
    <n v="199.5"/>
    <n v="3790.5"/>
    <n v="2850"/>
    <n v="940.5"/>
    <n v="0.24812030075187969"/>
    <d v="2014-12-01T00:00:00"/>
    <n v="12"/>
    <x v="2"/>
    <x v="0"/>
  </r>
  <r>
    <s v="Government"/>
    <x v="0"/>
    <x v="2"/>
    <s v="France"/>
    <x v="0"/>
    <s v="Medium"/>
    <n v="2487"/>
    <n v="3"/>
    <n v="7"/>
    <n v="17409"/>
    <n v="870.45"/>
    <n v="16538.55"/>
    <n v="12435"/>
    <n v="4103.5499999999993"/>
    <n v="0.24812030075187966"/>
    <d v="2014-12-01T00:00:00"/>
    <n v="12"/>
    <x v="2"/>
    <x v="0"/>
  </r>
  <r>
    <s v="Government"/>
    <x v="0"/>
    <x v="2"/>
    <s v="France"/>
    <x v="1"/>
    <s v="Medium"/>
    <n v="1384.5"/>
    <n v="5"/>
    <n v="350"/>
    <n v="484575"/>
    <n v="24228.75"/>
    <n v="460346.25"/>
    <n v="359970"/>
    <n v="100376.25"/>
    <n v="0.21804511278195488"/>
    <d v="2014-01-01T00:00:00"/>
    <n v="1"/>
    <x v="0"/>
    <x v="0"/>
  </r>
  <r>
    <s v="Enterprise"/>
    <x v="3"/>
    <x v="4"/>
    <s v="Usa"/>
    <x v="1"/>
    <s v="Medium"/>
    <n v="3627"/>
    <n v="5"/>
    <n v="125"/>
    <n v="453375"/>
    <n v="22668.75"/>
    <n v="430706.25"/>
    <n v="435240"/>
    <n v="-4533.75"/>
    <n v="-1.0526315789473684E-2"/>
    <d v="2014-07-01T00:00:00"/>
    <n v="7"/>
    <x v="4"/>
    <x v="0"/>
  </r>
  <r>
    <s v="Government"/>
    <x v="0"/>
    <x v="3"/>
    <s v="Mexico"/>
    <x v="1"/>
    <s v="Medium"/>
    <n v="720"/>
    <n v="5"/>
    <n v="350"/>
    <n v="252000"/>
    <n v="12600"/>
    <n v="239400"/>
    <n v="187200"/>
    <n v="52200"/>
    <n v="0.21804511278195488"/>
    <d v="2013-09-01T00:00:00"/>
    <n v="9"/>
    <x v="6"/>
    <x v="1"/>
  </r>
  <r>
    <s v="Channel Partners"/>
    <x v="2"/>
    <x v="1"/>
    <s v="Germany"/>
    <x v="1"/>
    <s v="Medium"/>
    <n v="2342"/>
    <n v="5"/>
    <n v="12"/>
    <n v="28104"/>
    <n v="1405.2"/>
    <n v="26698.799999999999"/>
    <n v="7026"/>
    <n v="19672.8"/>
    <n v="0.73684210526315785"/>
    <d v="2014-11-01T00:00:00"/>
    <n v="11"/>
    <x v="9"/>
    <x v="0"/>
  </r>
  <r>
    <s v="small business"/>
    <x v="4"/>
    <x v="3"/>
    <s v="Mexico"/>
    <x v="1"/>
    <s v="Medium"/>
    <n v="1100"/>
    <n v="5"/>
    <n v="300"/>
    <n v="330000"/>
    <n v="16500"/>
    <n v="313500"/>
    <n v="275000"/>
    <n v="38500"/>
    <n v="0.12280701754385964"/>
    <d v="2013-12-01T00:00:00"/>
    <n v="12"/>
    <x v="2"/>
    <x v="1"/>
  </r>
  <r>
    <s v="Government"/>
    <x v="0"/>
    <x v="2"/>
    <s v="France"/>
    <x v="2"/>
    <s v="Medium"/>
    <n v="1303"/>
    <n v="10"/>
    <n v="20"/>
    <n v="26060"/>
    <n v="1303"/>
    <n v="24757"/>
    <n v="13030"/>
    <n v="11727"/>
    <n v="0.47368421052631576"/>
    <d v="2014-02-01T00:00:00"/>
    <n v="2"/>
    <x v="8"/>
    <x v="0"/>
  </r>
  <r>
    <s v="Enterprise"/>
    <x v="3"/>
    <x v="4"/>
    <s v="Usa"/>
    <x v="2"/>
    <s v="Medium"/>
    <n v="2992"/>
    <n v="10"/>
    <n v="125"/>
    <n v="374000"/>
    <n v="18700"/>
    <n v="355300"/>
    <n v="359040"/>
    <n v="-3740"/>
    <n v="-1.0526315789473684E-2"/>
    <d v="2014-03-01T00:00:00"/>
    <n v="3"/>
    <x v="3"/>
    <x v="0"/>
  </r>
  <r>
    <s v="Enterprise"/>
    <x v="3"/>
    <x v="2"/>
    <s v="France"/>
    <x v="2"/>
    <s v="Medium"/>
    <n v="2385"/>
    <n v="10"/>
    <n v="125"/>
    <n v="298125"/>
    <n v="14906.25"/>
    <n v="283218.75"/>
    <n v="286200"/>
    <n v="-2981.25"/>
    <n v="-1.0526315789473684E-2"/>
    <d v="2014-03-01T00:00:00"/>
    <n v="3"/>
    <x v="3"/>
    <x v="0"/>
  </r>
  <r>
    <s v="small business"/>
    <x v="4"/>
    <x v="3"/>
    <s v="Mexico"/>
    <x v="2"/>
    <s v="Medium"/>
    <n v="1607"/>
    <n v="10"/>
    <n v="300"/>
    <n v="482100"/>
    <n v="24105"/>
    <n v="457995"/>
    <n v="401750"/>
    <n v="56245"/>
    <n v="0.12280701754385964"/>
    <d v="2014-04-01T00:00:00"/>
    <n v="4"/>
    <x v="10"/>
    <x v="0"/>
  </r>
  <r>
    <s v="Government"/>
    <x v="0"/>
    <x v="4"/>
    <s v="Usa"/>
    <x v="2"/>
    <s v="Medium"/>
    <n v="2327"/>
    <n v="10"/>
    <n v="7"/>
    <n v="16289"/>
    <n v="814.45"/>
    <n v="15474.55"/>
    <n v="11635"/>
    <n v="3839.5499999999993"/>
    <n v="0.24812030075187966"/>
    <d v="2014-05-01T00:00:00"/>
    <n v="5"/>
    <x v="11"/>
    <x v="0"/>
  </r>
  <r>
    <s v="small business"/>
    <x v="4"/>
    <x v="4"/>
    <s v="Usa"/>
    <x v="2"/>
    <s v="Medium"/>
    <n v="991"/>
    <n v="10"/>
    <n v="300"/>
    <n v="297300"/>
    <n v="14865"/>
    <n v="282435"/>
    <n v="247750"/>
    <n v="34685"/>
    <n v="0.12280701754385964"/>
    <d v="2014-06-01T00:00:00"/>
    <n v="6"/>
    <x v="1"/>
    <x v="0"/>
  </r>
  <r>
    <s v="Government"/>
    <x v="0"/>
    <x v="4"/>
    <s v="Usa"/>
    <x v="2"/>
    <s v="Medium"/>
    <n v="602"/>
    <n v="10"/>
    <n v="350"/>
    <n v="210700"/>
    <n v="10535"/>
    <n v="200165"/>
    <n v="156520"/>
    <n v="43645"/>
    <n v="0.21804511278195488"/>
    <d v="2014-06-01T00:00:00"/>
    <n v="6"/>
    <x v="1"/>
    <x v="0"/>
  </r>
  <r>
    <s v="Midmarket"/>
    <x v="1"/>
    <x v="2"/>
    <s v="France"/>
    <x v="2"/>
    <s v="Medium"/>
    <n v="2620"/>
    <n v="10"/>
    <n v="15"/>
    <n v="39300"/>
    <n v="1965"/>
    <n v="37335"/>
    <n v="26200"/>
    <n v="11135"/>
    <n v="0.2982456140350877"/>
    <d v="2014-09-01T00:00:00"/>
    <n v="9"/>
    <x v="6"/>
    <x v="0"/>
  </r>
  <r>
    <s v="Government"/>
    <x v="0"/>
    <x v="0"/>
    <s v="Canada"/>
    <x v="2"/>
    <s v="Medium"/>
    <n v="1228"/>
    <n v="10"/>
    <n v="350"/>
    <n v="429800"/>
    <n v="21490"/>
    <n v="408310"/>
    <n v="319280"/>
    <n v="89030"/>
    <n v="0.21804511278195488"/>
    <d v="2013-10-01T00:00:00"/>
    <n v="10"/>
    <x v="7"/>
    <x v="1"/>
  </r>
  <r>
    <s v="Government"/>
    <x v="0"/>
    <x v="0"/>
    <s v="Canada"/>
    <x v="2"/>
    <s v="Medium"/>
    <n v="1389"/>
    <n v="10"/>
    <n v="20"/>
    <n v="27780"/>
    <n v="1389"/>
    <n v="26391"/>
    <n v="13890"/>
    <n v="12501"/>
    <n v="0.47368421052631576"/>
    <d v="2013-10-01T00:00:00"/>
    <n v="10"/>
    <x v="7"/>
    <x v="1"/>
  </r>
  <r>
    <s v="Enterprise"/>
    <x v="3"/>
    <x v="4"/>
    <s v="Usa"/>
    <x v="2"/>
    <s v="Medium"/>
    <n v="861"/>
    <n v="10"/>
    <n v="125"/>
    <n v="107625"/>
    <n v="5381.25"/>
    <n v="102243.75"/>
    <n v="103320"/>
    <n v="-1076.25"/>
    <n v="-1.0526315789473684E-2"/>
    <d v="2014-10-01T00:00:00"/>
    <n v="10"/>
    <x v="7"/>
    <x v="0"/>
  </r>
  <r>
    <s v="Enterprise"/>
    <x v="3"/>
    <x v="2"/>
    <s v="France"/>
    <x v="2"/>
    <s v="Medium"/>
    <n v="704"/>
    <n v="10"/>
    <n v="125"/>
    <n v="88000"/>
    <n v="4400"/>
    <n v="83600"/>
    <n v="84480"/>
    <n v="-880"/>
    <n v="-1.0526315789473684E-2"/>
    <d v="2013-10-01T00:00:00"/>
    <n v="10"/>
    <x v="7"/>
    <x v="1"/>
  </r>
  <r>
    <s v="Government"/>
    <x v="0"/>
    <x v="0"/>
    <s v="Canada"/>
    <x v="2"/>
    <s v="Medium"/>
    <n v="1802"/>
    <n v="10"/>
    <n v="20"/>
    <n v="36040"/>
    <n v="1802"/>
    <n v="34238"/>
    <n v="18020"/>
    <n v="16218"/>
    <n v="0.47368421052631576"/>
    <d v="2013-12-01T00:00:00"/>
    <n v="12"/>
    <x v="2"/>
    <x v="1"/>
  </r>
  <r>
    <s v="Government"/>
    <x v="0"/>
    <x v="4"/>
    <s v="Usa"/>
    <x v="2"/>
    <s v="Medium"/>
    <n v="2663"/>
    <n v="10"/>
    <n v="20"/>
    <n v="53260"/>
    <n v="2663"/>
    <n v="50597"/>
    <n v="26630"/>
    <n v="23967"/>
    <n v="0.47368421052631576"/>
    <d v="2014-12-01T00:00:00"/>
    <n v="12"/>
    <x v="2"/>
    <x v="0"/>
  </r>
  <r>
    <s v="Government"/>
    <x v="0"/>
    <x v="2"/>
    <s v="France"/>
    <x v="2"/>
    <s v="Medium"/>
    <n v="2136"/>
    <n v="10"/>
    <n v="7"/>
    <n v="14952"/>
    <n v="747.6"/>
    <n v="14204.4"/>
    <n v="10680"/>
    <n v="3524.3999999999996"/>
    <n v="0.24812030075187969"/>
    <d v="2013-12-01T00:00:00"/>
    <n v="12"/>
    <x v="2"/>
    <x v="1"/>
  </r>
  <r>
    <s v="Midmarket"/>
    <x v="1"/>
    <x v="1"/>
    <s v="Germany"/>
    <x v="2"/>
    <s v="Medium"/>
    <n v="2116"/>
    <n v="10"/>
    <n v="15"/>
    <n v="31740"/>
    <n v="1587"/>
    <n v="30153"/>
    <n v="21160"/>
    <n v="8993"/>
    <n v="0.2982456140350877"/>
    <d v="2013-12-01T00:00:00"/>
    <n v="12"/>
    <x v="2"/>
    <x v="1"/>
  </r>
  <r>
    <s v="Midmarket"/>
    <x v="1"/>
    <x v="4"/>
    <s v="Usa"/>
    <x v="3"/>
    <s v="Medium"/>
    <n v="555"/>
    <n v="120"/>
    <n v="15"/>
    <n v="8325"/>
    <n v="416.25"/>
    <n v="7908.75"/>
    <n v="5550"/>
    <n v="2358.75"/>
    <n v="0.2982456140350877"/>
    <d v="2014-01-01T00:00:00"/>
    <n v="1"/>
    <x v="0"/>
    <x v="0"/>
  </r>
  <r>
    <s v="Midmarket"/>
    <x v="1"/>
    <x v="3"/>
    <s v="Mexico"/>
    <x v="3"/>
    <s v="Medium"/>
    <n v="2861"/>
    <n v="120"/>
    <n v="15"/>
    <n v="42915"/>
    <n v="2145.75"/>
    <n v="40769.25"/>
    <n v="28610"/>
    <n v="12159.25"/>
    <n v="0.2982456140350877"/>
    <d v="2014-01-01T00:00:00"/>
    <n v="1"/>
    <x v="0"/>
    <x v="0"/>
  </r>
  <r>
    <s v="Enterprise"/>
    <x v="3"/>
    <x v="1"/>
    <s v="Germany"/>
    <x v="3"/>
    <s v="Medium"/>
    <n v="807"/>
    <n v="120"/>
    <n v="125"/>
    <n v="100875"/>
    <n v="5043.75"/>
    <n v="95831.25"/>
    <n v="96840"/>
    <n v="-1008.75"/>
    <n v="-1.0526315789473684E-2"/>
    <d v="2014-02-01T00:00:00"/>
    <n v="2"/>
    <x v="8"/>
    <x v="0"/>
  </r>
  <r>
    <s v="Government"/>
    <x v="0"/>
    <x v="4"/>
    <s v="Usa"/>
    <x v="3"/>
    <s v="Medium"/>
    <n v="602"/>
    <n v="120"/>
    <n v="350"/>
    <n v="210700"/>
    <n v="10535"/>
    <n v="200165"/>
    <n v="156520"/>
    <n v="43645"/>
    <n v="0.21804511278195488"/>
    <d v="2014-06-01T00:00:00"/>
    <n v="6"/>
    <x v="1"/>
    <x v="0"/>
  </r>
  <r>
    <s v="Government"/>
    <x v="0"/>
    <x v="4"/>
    <s v="Usa"/>
    <x v="3"/>
    <s v="Medium"/>
    <n v="2832"/>
    <n v="120"/>
    <n v="20"/>
    <n v="56640"/>
    <n v="2832"/>
    <n v="53808"/>
    <n v="28320"/>
    <n v="25488"/>
    <n v="0.47368421052631576"/>
    <d v="2014-08-01T00:00:00"/>
    <n v="8"/>
    <x v="5"/>
    <x v="0"/>
  </r>
  <r>
    <s v="Government"/>
    <x v="0"/>
    <x v="2"/>
    <s v="France"/>
    <x v="3"/>
    <s v="Medium"/>
    <n v="1579"/>
    <n v="120"/>
    <n v="20"/>
    <n v="31580"/>
    <n v="1579"/>
    <n v="30001"/>
    <n v="15790"/>
    <n v="14211"/>
    <n v="0.47368421052631576"/>
    <d v="2014-08-01T00:00:00"/>
    <n v="8"/>
    <x v="5"/>
    <x v="0"/>
  </r>
  <r>
    <s v="Enterprise"/>
    <x v="3"/>
    <x v="4"/>
    <s v="Usa"/>
    <x v="3"/>
    <s v="Medium"/>
    <n v="861"/>
    <n v="120"/>
    <n v="125"/>
    <n v="107625"/>
    <n v="5381.25"/>
    <n v="102243.75"/>
    <n v="103320"/>
    <n v="-1076.25"/>
    <n v="-1.0526315789473684E-2"/>
    <d v="2014-10-01T00:00:00"/>
    <n v="10"/>
    <x v="7"/>
    <x v="0"/>
  </r>
  <r>
    <s v="Enterprise"/>
    <x v="3"/>
    <x v="2"/>
    <s v="France"/>
    <x v="3"/>
    <s v="Medium"/>
    <n v="704"/>
    <n v="120"/>
    <n v="125"/>
    <n v="88000"/>
    <n v="4400"/>
    <n v="83600"/>
    <n v="84480"/>
    <n v="-880"/>
    <n v="-1.0526315789473684E-2"/>
    <d v="2013-10-01T00:00:00"/>
    <n v="10"/>
    <x v="7"/>
    <x v="1"/>
  </r>
  <r>
    <s v="Government"/>
    <x v="0"/>
    <x v="2"/>
    <s v="France"/>
    <x v="3"/>
    <s v="Medium"/>
    <n v="1033"/>
    <n v="120"/>
    <n v="20"/>
    <n v="20660"/>
    <n v="1033"/>
    <n v="19627"/>
    <n v="10330"/>
    <n v="9297"/>
    <n v="0.47368421052631576"/>
    <d v="2013-12-01T00:00:00"/>
    <n v="12"/>
    <x v="2"/>
    <x v="1"/>
  </r>
  <r>
    <s v="small business"/>
    <x v="4"/>
    <x v="1"/>
    <s v="Germany"/>
    <x v="3"/>
    <s v="Medium"/>
    <n v="1250"/>
    <n v="120"/>
    <n v="300"/>
    <n v="375000"/>
    <n v="18750"/>
    <n v="356250"/>
    <n v="312500"/>
    <n v="43750"/>
    <n v="0.12280701754385964"/>
    <d v="2014-12-01T00:00:00"/>
    <n v="12"/>
    <x v="2"/>
    <x v="0"/>
  </r>
  <r>
    <s v="Government"/>
    <x v="0"/>
    <x v="0"/>
    <s v="Canada"/>
    <x v="4"/>
    <s v="Medium"/>
    <n v="1389"/>
    <n v="250"/>
    <n v="20"/>
    <n v="27780"/>
    <n v="1389"/>
    <n v="26391"/>
    <n v="13890"/>
    <n v="12501"/>
    <n v="0.47368421052631576"/>
    <d v="2013-10-01T00:00:00"/>
    <n v="10"/>
    <x v="7"/>
    <x v="1"/>
  </r>
  <r>
    <s v="Government"/>
    <x v="0"/>
    <x v="4"/>
    <s v="Usa"/>
    <x v="4"/>
    <s v="Medium"/>
    <n v="1265"/>
    <n v="250"/>
    <n v="20"/>
    <n v="25300"/>
    <n v="1265"/>
    <n v="24035"/>
    <n v="12650"/>
    <n v="11385"/>
    <n v="0.47368421052631576"/>
    <d v="2013-11-01T00:00:00"/>
    <n v="11"/>
    <x v="9"/>
    <x v="1"/>
  </r>
  <r>
    <s v="Government"/>
    <x v="0"/>
    <x v="1"/>
    <s v="Germany"/>
    <x v="4"/>
    <s v="Medium"/>
    <n v="2297"/>
    <n v="250"/>
    <n v="20"/>
    <n v="45940"/>
    <n v="2297"/>
    <n v="43643"/>
    <n v="22970"/>
    <n v="20673"/>
    <n v="0.47368421052631576"/>
    <d v="2013-11-01T00:00:00"/>
    <n v="11"/>
    <x v="9"/>
    <x v="1"/>
  </r>
  <r>
    <s v="Government"/>
    <x v="0"/>
    <x v="4"/>
    <s v="Usa"/>
    <x v="4"/>
    <s v="Medium"/>
    <n v="2663"/>
    <n v="250"/>
    <n v="20"/>
    <n v="53260"/>
    <n v="2663"/>
    <n v="50597"/>
    <n v="26630"/>
    <n v="23967"/>
    <n v="0.47368421052631576"/>
    <d v="2014-12-01T00:00:00"/>
    <n v="12"/>
    <x v="2"/>
    <x v="0"/>
  </r>
  <r>
    <s v="Government"/>
    <x v="0"/>
    <x v="4"/>
    <s v="Usa"/>
    <x v="4"/>
    <s v="Medium"/>
    <n v="570"/>
    <n v="250"/>
    <n v="7"/>
    <n v="3990"/>
    <n v="199.5"/>
    <n v="3790.5"/>
    <n v="2850"/>
    <n v="940.5"/>
    <n v="0.24812030075187969"/>
    <d v="2014-12-01T00:00:00"/>
    <n v="12"/>
    <x v="2"/>
    <x v="0"/>
  </r>
  <r>
    <s v="Government"/>
    <x v="0"/>
    <x v="2"/>
    <s v="France"/>
    <x v="4"/>
    <s v="Medium"/>
    <n v="2487"/>
    <n v="250"/>
    <n v="7"/>
    <n v="17409"/>
    <n v="870.45"/>
    <n v="16538.55"/>
    <n v="12435"/>
    <n v="4103.5499999999993"/>
    <n v="0.24812030075187966"/>
    <d v="2014-12-01T00:00:00"/>
    <n v="12"/>
    <x v="2"/>
    <x v="0"/>
  </r>
  <r>
    <s v="Government"/>
    <x v="0"/>
    <x v="1"/>
    <s v="Germany"/>
    <x v="5"/>
    <s v="Medium"/>
    <n v="1350"/>
    <n v="260"/>
    <n v="350"/>
    <n v="472500"/>
    <n v="23625"/>
    <n v="448875"/>
    <n v="351000"/>
    <n v="97875"/>
    <n v="0.21804511278195488"/>
    <d v="2014-02-01T00:00:00"/>
    <n v="2"/>
    <x v="8"/>
    <x v="0"/>
  </r>
  <r>
    <s v="Government"/>
    <x v="0"/>
    <x v="0"/>
    <s v="Canada"/>
    <x v="5"/>
    <s v="Medium"/>
    <n v="552"/>
    <n v="260"/>
    <n v="350"/>
    <n v="193200"/>
    <n v="9660"/>
    <n v="183540"/>
    <n v="143520"/>
    <n v="40020"/>
    <n v="0.21804511278195488"/>
    <d v="2014-08-01T00:00:00"/>
    <n v="8"/>
    <x v="5"/>
    <x v="0"/>
  </r>
  <r>
    <s v="Government"/>
    <x v="0"/>
    <x v="0"/>
    <s v="Canada"/>
    <x v="5"/>
    <s v="Medium"/>
    <n v="1228"/>
    <n v="260"/>
    <n v="350"/>
    <n v="429800"/>
    <n v="21490"/>
    <n v="408310"/>
    <n v="319280"/>
    <n v="89030"/>
    <n v="0.21804511278195488"/>
    <d v="2013-10-01T00:00:00"/>
    <n v="10"/>
    <x v="7"/>
    <x v="1"/>
  </r>
  <r>
    <s v="small business"/>
    <x v="4"/>
    <x v="1"/>
    <s v="Germany"/>
    <x v="5"/>
    <s v="Medium"/>
    <n v="1250"/>
    <n v="260"/>
    <n v="300"/>
    <n v="375000"/>
    <n v="18750"/>
    <n v="356250"/>
    <n v="312500"/>
    <n v="43750"/>
    <n v="0.12280701754385964"/>
    <d v="2014-12-01T00:00:00"/>
    <n v="12"/>
    <x v="2"/>
    <x v="0"/>
  </r>
  <r>
    <s v="Midmarket"/>
    <x v="1"/>
    <x v="2"/>
    <s v="France"/>
    <x v="2"/>
    <s v="Medium"/>
    <n v="3801"/>
    <n v="10"/>
    <n v="15"/>
    <n v="57015"/>
    <n v="3420.8999999999996"/>
    <n v="53594.1"/>
    <n v="38010"/>
    <n v="15584.099999999999"/>
    <n v="0.29078014184397161"/>
    <d v="2014-04-01T00:00:00"/>
    <n v="4"/>
    <x v="10"/>
    <x v="0"/>
  </r>
  <r>
    <s v="Government"/>
    <x v="0"/>
    <x v="4"/>
    <s v="Usa"/>
    <x v="0"/>
    <s v="Medium"/>
    <n v="1117.5"/>
    <n v="3"/>
    <n v="20"/>
    <n v="22350"/>
    <n v="1341"/>
    <n v="21009"/>
    <n v="11175"/>
    <n v="9834"/>
    <n v="0.46808510638297873"/>
    <d v="2014-01-01T00:00:00"/>
    <n v="1"/>
    <x v="0"/>
    <x v="0"/>
  </r>
  <r>
    <s v="Midmarket"/>
    <x v="1"/>
    <x v="0"/>
    <s v="Canada"/>
    <x v="0"/>
    <s v="Medium"/>
    <n v="2844"/>
    <n v="3"/>
    <n v="15"/>
    <n v="42660"/>
    <n v="2559.6"/>
    <n v="40100.400000000001"/>
    <n v="28440"/>
    <n v="11660.400000000001"/>
    <n v="0.29078014184397166"/>
    <d v="2014-06-01T00:00:00"/>
    <n v="6"/>
    <x v="1"/>
    <x v="0"/>
  </r>
  <r>
    <s v="Channel Partners"/>
    <x v="2"/>
    <x v="3"/>
    <s v="Mexico"/>
    <x v="0"/>
    <s v="Medium"/>
    <n v="562"/>
    <n v="3"/>
    <n v="12"/>
    <n v="6744"/>
    <n v="404.64"/>
    <n v="6339.36"/>
    <n v="1686"/>
    <n v="4653.3599999999997"/>
    <n v="0.73404255319148937"/>
    <d v="2014-09-01T00:00:00"/>
    <n v="9"/>
    <x v="6"/>
    <x v="0"/>
  </r>
  <r>
    <s v="Channel Partners"/>
    <x v="2"/>
    <x v="0"/>
    <s v="Canada"/>
    <x v="0"/>
    <s v="Medium"/>
    <n v="2299"/>
    <n v="3"/>
    <n v="12"/>
    <n v="27588"/>
    <n v="1655.28"/>
    <n v="25932.720000000001"/>
    <n v="6897"/>
    <n v="19035.72"/>
    <n v="0.73404255319148937"/>
    <d v="2013-10-01T00:00:00"/>
    <n v="10"/>
    <x v="7"/>
    <x v="1"/>
  </r>
  <r>
    <s v="Midmarket"/>
    <x v="1"/>
    <x v="4"/>
    <s v="Usa"/>
    <x v="0"/>
    <s v="Medium"/>
    <n v="2030"/>
    <n v="3"/>
    <n v="15"/>
    <n v="30450"/>
    <n v="1827"/>
    <n v="28623"/>
    <n v="20300"/>
    <n v="8323"/>
    <n v="0.29078014184397161"/>
    <d v="2014-11-01T00:00:00"/>
    <n v="11"/>
    <x v="9"/>
    <x v="0"/>
  </r>
  <r>
    <s v="Government"/>
    <x v="0"/>
    <x v="4"/>
    <s v="Usa"/>
    <x v="0"/>
    <s v="Medium"/>
    <n v="263"/>
    <n v="3"/>
    <n v="7"/>
    <n v="1841"/>
    <n v="110.46"/>
    <n v="1730.54"/>
    <n v="1315"/>
    <n v="415.53999999999996"/>
    <n v="0.24012158054711244"/>
    <d v="2013-11-01T00:00:00"/>
    <n v="11"/>
    <x v="9"/>
    <x v="1"/>
  </r>
  <r>
    <s v="Enterprise"/>
    <x v="3"/>
    <x v="1"/>
    <s v="Germany"/>
    <x v="0"/>
    <s v="Medium"/>
    <n v="887"/>
    <n v="3"/>
    <n v="125"/>
    <n v="110875"/>
    <n v="6652.5"/>
    <n v="104222.5"/>
    <n v="106440"/>
    <n v="-2217.5"/>
    <n v="-2.1276595744680851E-2"/>
    <d v="2013-12-01T00:00:00"/>
    <n v="12"/>
    <x v="2"/>
    <x v="1"/>
  </r>
  <r>
    <s v="Government"/>
    <x v="0"/>
    <x v="3"/>
    <s v="Mexico"/>
    <x v="1"/>
    <s v="Medium"/>
    <n v="980"/>
    <n v="5"/>
    <n v="350"/>
    <n v="343000"/>
    <n v="20580"/>
    <n v="322420"/>
    <n v="254800"/>
    <n v="67620"/>
    <n v="0.20972644376899696"/>
    <d v="2014-04-01T00:00:00"/>
    <n v="4"/>
    <x v="10"/>
    <x v="0"/>
  </r>
  <r>
    <s v="Government"/>
    <x v="0"/>
    <x v="1"/>
    <s v="Germany"/>
    <x v="1"/>
    <s v="Medium"/>
    <n v="1460"/>
    <n v="5"/>
    <n v="350"/>
    <n v="511000"/>
    <n v="30660"/>
    <n v="480340"/>
    <n v="379600"/>
    <n v="100740"/>
    <n v="0.20972644376899696"/>
    <d v="2014-05-01T00:00:00"/>
    <n v="5"/>
    <x v="11"/>
    <x v="0"/>
  </r>
  <r>
    <s v="Government"/>
    <x v="0"/>
    <x v="2"/>
    <s v="France"/>
    <x v="1"/>
    <s v="Medium"/>
    <n v="1403"/>
    <n v="5"/>
    <n v="7"/>
    <n v="9821"/>
    <n v="589.26"/>
    <n v="9231.74"/>
    <n v="7015"/>
    <n v="2216.7399999999998"/>
    <n v="0.24012158054711244"/>
    <d v="2013-10-01T00:00:00"/>
    <n v="10"/>
    <x v="7"/>
    <x v="1"/>
  </r>
  <r>
    <s v="Channel Partners"/>
    <x v="2"/>
    <x v="4"/>
    <s v="Usa"/>
    <x v="1"/>
    <s v="Medium"/>
    <n v="2723"/>
    <n v="5"/>
    <n v="12"/>
    <n v="32676"/>
    <n v="1960.56"/>
    <n v="30715.439999999999"/>
    <n v="8169"/>
    <n v="22546.44"/>
    <n v="0.73404255319148937"/>
    <d v="2014-11-01T00:00:00"/>
    <n v="11"/>
    <x v="9"/>
    <x v="0"/>
  </r>
  <r>
    <s v="Government"/>
    <x v="0"/>
    <x v="2"/>
    <s v="France"/>
    <x v="2"/>
    <s v="Medium"/>
    <n v="1496"/>
    <n v="10"/>
    <n v="350"/>
    <n v="523600"/>
    <n v="31416"/>
    <n v="492184"/>
    <n v="388960"/>
    <n v="103224"/>
    <n v="0.20972644376899696"/>
    <d v="2014-06-01T00:00:00"/>
    <n v="6"/>
    <x v="1"/>
    <x v="0"/>
  </r>
  <r>
    <s v="Channel Partners"/>
    <x v="2"/>
    <x v="0"/>
    <s v="Canada"/>
    <x v="2"/>
    <s v="Medium"/>
    <n v="2299"/>
    <n v="10"/>
    <n v="12"/>
    <n v="27588"/>
    <n v="1655.28"/>
    <n v="25932.720000000001"/>
    <n v="6897"/>
    <n v="19035.72"/>
    <n v="0.73404255319148937"/>
    <d v="2013-10-01T00:00:00"/>
    <n v="10"/>
    <x v="7"/>
    <x v="1"/>
  </r>
  <r>
    <s v="Government"/>
    <x v="0"/>
    <x v="4"/>
    <s v="Usa"/>
    <x v="2"/>
    <s v="Medium"/>
    <n v="727"/>
    <n v="10"/>
    <n v="350"/>
    <n v="254450"/>
    <n v="15267"/>
    <n v="239183"/>
    <n v="189020"/>
    <n v="50163"/>
    <n v="0.20972644376899696"/>
    <d v="2013-10-01T00:00:00"/>
    <n v="10"/>
    <x v="7"/>
    <x v="1"/>
  </r>
  <r>
    <s v="Enterprise"/>
    <x v="3"/>
    <x v="0"/>
    <s v="Canada"/>
    <x v="3"/>
    <s v="Medium"/>
    <n v="952"/>
    <n v="120"/>
    <n v="125"/>
    <n v="119000"/>
    <n v="7140"/>
    <n v="111860"/>
    <n v="114240"/>
    <n v="-2380"/>
    <n v="-2.1276595744680851E-2"/>
    <d v="2014-02-01T00:00:00"/>
    <n v="2"/>
    <x v="8"/>
    <x v="0"/>
  </r>
  <r>
    <s v="Enterprise"/>
    <x v="3"/>
    <x v="4"/>
    <s v="Usa"/>
    <x v="3"/>
    <s v="Medium"/>
    <n v="2755"/>
    <n v="120"/>
    <n v="125"/>
    <n v="344375"/>
    <n v="20662.5"/>
    <n v="323712.5"/>
    <n v="330600"/>
    <n v="-6887.5"/>
    <n v="-2.1276595744680851E-2"/>
    <d v="2014-02-01T00:00:00"/>
    <n v="2"/>
    <x v="8"/>
    <x v="0"/>
  </r>
  <r>
    <s v="Midmarket"/>
    <x v="1"/>
    <x v="1"/>
    <s v="Germany"/>
    <x v="3"/>
    <s v="Medium"/>
    <n v="1530"/>
    <n v="120"/>
    <n v="15"/>
    <n v="22950"/>
    <n v="1377"/>
    <n v="21573"/>
    <n v="15300"/>
    <n v="6273"/>
    <n v="0.29078014184397161"/>
    <d v="2014-05-01T00:00:00"/>
    <n v="5"/>
    <x v="11"/>
    <x v="0"/>
  </r>
  <r>
    <s v="Government"/>
    <x v="0"/>
    <x v="2"/>
    <s v="France"/>
    <x v="3"/>
    <s v="Medium"/>
    <n v="1496"/>
    <n v="120"/>
    <n v="350"/>
    <n v="523600"/>
    <n v="31416"/>
    <n v="492184"/>
    <n v="388960"/>
    <n v="103224"/>
    <n v="0.20972644376899696"/>
    <d v="2014-06-01T00:00:00"/>
    <n v="6"/>
    <x v="1"/>
    <x v="0"/>
  </r>
  <r>
    <s v="Government"/>
    <x v="0"/>
    <x v="3"/>
    <s v="Mexico"/>
    <x v="3"/>
    <s v="Medium"/>
    <n v="1498"/>
    <n v="120"/>
    <n v="7"/>
    <n v="10486"/>
    <n v="629.16"/>
    <n v="9856.84"/>
    <n v="7490"/>
    <n v="2366.84"/>
    <n v="0.24012158054711247"/>
    <d v="2014-06-01T00:00:00"/>
    <n v="6"/>
    <x v="1"/>
    <x v="0"/>
  </r>
  <r>
    <s v="small business"/>
    <x v="4"/>
    <x v="2"/>
    <s v="France"/>
    <x v="3"/>
    <s v="Medium"/>
    <n v="1221"/>
    <n v="120"/>
    <n v="300"/>
    <n v="366300"/>
    <n v="21978"/>
    <n v="344322"/>
    <n v="305250"/>
    <n v="39072"/>
    <n v="0.11347517730496454"/>
    <d v="2013-10-01T00:00:00"/>
    <n v="10"/>
    <x v="7"/>
    <x v="1"/>
  </r>
  <r>
    <s v="Government"/>
    <x v="0"/>
    <x v="2"/>
    <s v="France"/>
    <x v="3"/>
    <s v="Medium"/>
    <n v="2076"/>
    <n v="120"/>
    <n v="350"/>
    <n v="726600"/>
    <n v="43596"/>
    <n v="683004"/>
    <n v="539760"/>
    <n v="143244"/>
    <n v="0.20972644376899696"/>
    <d v="2013-10-01T00:00:00"/>
    <n v="10"/>
    <x v="7"/>
    <x v="1"/>
  </r>
  <r>
    <s v="Midmarket"/>
    <x v="1"/>
    <x v="0"/>
    <s v="Canada"/>
    <x v="4"/>
    <s v="Medium"/>
    <n v="2844"/>
    <n v="250"/>
    <n v="15"/>
    <n v="42660"/>
    <n v="2559.6"/>
    <n v="40100.400000000001"/>
    <n v="28440"/>
    <n v="11660.400000000001"/>
    <n v="0.29078014184397166"/>
    <d v="2014-06-01T00:00:00"/>
    <n v="6"/>
    <x v="1"/>
    <x v="0"/>
  </r>
  <r>
    <s v="Government"/>
    <x v="0"/>
    <x v="3"/>
    <s v="Mexico"/>
    <x v="4"/>
    <s v="Medium"/>
    <n v="1498"/>
    <n v="250"/>
    <n v="7"/>
    <n v="10486"/>
    <n v="629.16"/>
    <n v="9856.84"/>
    <n v="7490"/>
    <n v="2366.84"/>
    <n v="0.24012158054711247"/>
    <d v="2014-06-01T00:00:00"/>
    <n v="6"/>
    <x v="1"/>
    <x v="0"/>
  </r>
  <r>
    <s v="small business"/>
    <x v="4"/>
    <x v="2"/>
    <s v="France"/>
    <x v="4"/>
    <s v="Medium"/>
    <n v="1221"/>
    <n v="250"/>
    <n v="300"/>
    <n v="366300"/>
    <n v="21978"/>
    <n v="344322"/>
    <n v="305250"/>
    <n v="39072"/>
    <n v="0.11347517730496454"/>
    <d v="2013-10-01T00:00:00"/>
    <n v="10"/>
    <x v="7"/>
    <x v="1"/>
  </r>
  <r>
    <s v="Government"/>
    <x v="0"/>
    <x v="3"/>
    <s v="Mexico"/>
    <x v="4"/>
    <s v="Medium"/>
    <n v="1123"/>
    <n v="250"/>
    <n v="20"/>
    <n v="22460"/>
    <n v="1347.6"/>
    <n v="21112.400000000001"/>
    <n v="11230"/>
    <n v="9882.4000000000015"/>
    <n v="0.46808510638297873"/>
    <d v="2013-11-01T00:00:00"/>
    <n v="11"/>
    <x v="9"/>
    <x v="1"/>
  </r>
  <r>
    <s v="small business"/>
    <x v="4"/>
    <x v="0"/>
    <s v="Canada"/>
    <x v="4"/>
    <s v="Medium"/>
    <n v="2436"/>
    <n v="250"/>
    <n v="300"/>
    <n v="730800"/>
    <n v="43848"/>
    <n v="686952"/>
    <n v="609000"/>
    <n v="77952"/>
    <n v="0.11347517730496454"/>
    <d v="2013-12-01T00:00:00"/>
    <n v="12"/>
    <x v="2"/>
    <x v="1"/>
  </r>
  <r>
    <s v="Enterprise"/>
    <x v="3"/>
    <x v="2"/>
    <s v="France"/>
    <x v="5"/>
    <s v="Medium"/>
    <n v="1987.5"/>
    <n v="260"/>
    <n v="125"/>
    <n v="248437.5"/>
    <n v="14906.25"/>
    <n v="233531.25"/>
    <n v="238500"/>
    <n v="-4968.75"/>
    <n v="-2.1276595744680851E-2"/>
    <d v="2014-01-01T00:00:00"/>
    <n v="1"/>
    <x v="0"/>
    <x v="0"/>
  </r>
  <r>
    <s v="Government"/>
    <x v="0"/>
    <x v="3"/>
    <s v="Mexico"/>
    <x v="5"/>
    <s v="Medium"/>
    <n v="1679"/>
    <n v="260"/>
    <n v="350"/>
    <n v="587650"/>
    <n v="35259"/>
    <n v="552391"/>
    <n v="436540"/>
    <n v="115851"/>
    <n v="0.20972644376899696"/>
    <d v="2014-09-01T00:00:00"/>
    <n v="9"/>
    <x v="6"/>
    <x v="0"/>
  </r>
  <r>
    <s v="Government"/>
    <x v="0"/>
    <x v="4"/>
    <s v="Usa"/>
    <x v="5"/>
    <s v="Medium"/>
    <n v="727"/>
    <n v="260"/>
    <n v="350"/>
    <n v="254450"/>
    <n v="15267"/>
    <n v="239183"/>
    <n v="189020"/>
    <n v="50163"/>
    <n v="0.20972644376899696"/>
    <d v="2013-10-01T00:00:00"/>
    <n v="10"/>
    <x v="7"/>
    <x v="1"/>
  </r>
  <r>
    <s v="Government"/>
    <x v="0"/>
    <x v="2"/>
    <s v="France"/>
    <x v="5"/>
    <s v="Medium"/>
    <n v="1403"/>
    <n v="260"/>
    <n v="7"/>
    <n v="9821"/>
    <n v="589.26"/>
    <n v="9231.74"/>
    <n v="7015"/>
    <n v="2216.7399999999998"/>
    <n v="0.24012158054711244"/>
    <d v="2013-10-01T00:00:00"/>
    <n v="10"/>
    <x v="7"/>
    <x v="1"/>
  </r>
  <r>
    <s v="Government"/>
    <x v="0"/>
    <x v="2"/>
    <s v="France"/>
    <x v="5"/>
    <s v="Medium"/>
    <n v="2076"/>
    <n v="260"/>
    <n v="350"/>
    <n v="726600"/>
    <n v="43596"/>
    <n v="683004"/>
    <n v="539760"/>
    <n v="143244"/>
    <n v="0.20972644376899696"/>
    <d v="2013-10-01T00:00:00"/>
    <n v="10"/>
    <x v="7"/>
    <x v="1"/>
  </r>
  <r>
    <s v="Government"/>
    <x v="0"/>
    <x v="2"/>
    <s v="France"/>
    <x v="1"/>
    <s v="Medium"/>
    <n v="1757"/>
    <n v="5"/>
    <n v="20"/>
    <n v="35140"/>
    <n v="2108.4"/>
    <n v="33031.599999999999"/>
    <n v="17570"/>
    <n v="15461.599999999999"/>
    <n v="0.46808510638297868"/>
    <d v="2013-10-01T00:00:00"/>
    <n v="10"/>
    <x v="7"/>
    <x v="1"/>
  </r>
  <r>
    <s v="Midmarket"/>
    <x v="1"/>
    <x v="4"/>
    <s v="Usa"/>
    <x v="2"/>
    <s v="Medium"/>
    <n v="2198"/>
    <n v="10"/>
    <n v="15"/>
    <n v="32970"/>
    <n v="1978.2"/>
    <n v="30991.8"/>
    <n v="21980"/>
    <n v="9011.7999999999993"/>
    <n v="0.29078014184397161"/>
    <d v="2014-08-01T00:00:00"/>
    <n v="8"/>
    <x v="5"/>
    <x v="0"/>
  </r>
  <r>
    <s v="Midmarket"/>
    <x v="1"/>
    <x v="1"/>
    <s v="Germany"/>
    <x v="2"/>
    <s v="Medium"/>
    <n v="1743"/>
    <n v="10"/>
    <n v="15"/>
    <n v="26145"/>
    <n v="1568.7"/>
    <n v="24576.3"/>
    <n v="17430"/>
    <n v="7146.2999999999993"/>
    <n v="0.29078014184397161"/>
    <d v="2014-08-01T00:00:00"/>
    <n v="8"/>
    <x v="5"/>
    <x v="0"/>
  </r>
  <r>
    <s v="Midmarket"/>
    <x v="1"/>
    <x v="4"/>
    <s v="Usa"/>
    <x v="2"/>
    <s v="Medium"/>
    <n v="1153"/>
    <n v="10"/>
    <n v="15"/>
    <n v="17295"/>
    <n v="1037.7"/>
    <n v="16257.3"/>
    <n v="11530"/>
    <n v="4727.2999999999993"/>
    <n v="0.29078014184397161"/>
    <d v="2014-10-01T00:00:00"/>
    <n v="10"/>
    <x v="7"/>
    <x v="0"/>
  </r>
  <r>
    <s v="Government"/>
    <x v="0"/>
    <x v="2"/>
    <s v="France"/>
    <x v="2"/>
    <s v="Medium"/>
    <n v="1757"/>
    <n v="10"/>
    <n v="20"/>
    <n v="35140"/>
    <n v="2108.4"/>
    <n v="33031.599999999999"/>
    <n v="17570"/>
    <n v="15461.599999999999"/>
    <n v="0.46808510638297868"/>
    <d v="2013-10-01T00:00:00"/>
    <n v="10"/>
    <x v="7"/>
    <x v="1"/>
  </r>
  <r>
    <s v="Government"/>
    <x v="0"/>
    <x v="1"/>
    <s v="Germany"/>
    <x v="3"/>
    <s v="Medium"/>
    <n v="1001"/>
    <n v="120"/>
    <n v="20"/>
    <n v="20020"/>
    <n v="1201.2"/>
    <n v="18818.8"/>
    <n v="10010"/>
    <n v="8808.7999999999993"/>
    <n v="0.46808510638297868"/>
    <d v="2014-08-01T00:00:00"/>
    <n v="8"/>
    <x v="5"/>
    <x v="0"/>
  </r>
  <r>
    <s v="Government"/>
    <x v="0"/>
    <x v="3"/>
    <s v="Mexico"/>
    <x v="3"/>
    <s v="Medium"/>
    <n v="1333"/>
    <n v="120"/>
    <n v="7"/>
    <n v="9331"/>
    <n v="559.86"/>
    <n v="8771.14"/>
    <n v="6665"/>
    <n v="2106.1399999999994"/>
    <n v="0.24012158054711241"/>
    <d v="2014-11-01T00:00:00"/>
    <n v="11"/>
    <x v="9"/>
    <x v="0"/>
  </r>
  <r>
    <s v="Midmarket"/>
    <x v="1"/>
    <x v="4"/>
    <s v="Usa"/>
    <x v="4"/>
    <s v="Medium"/>
    <n v="1153"/>
    <n v="250"/>
    <n v="15"/>
    <n v="17295"/>
    <n v="1037.7"/>
    <n v="16257.3"/>
    <n v="11530"/>
    <n v="4727.2999999999993"/>
    <n v="0.29078014184397161"/>
    <d v="2014-10-01T00:00:00"/>
    <n v="10"/>
    <x v="7"/>
    <x v="0"/>
  </r>
  <r>
    <s v="Channel Partners"/>
    <x v="2"/>
    <x v="3"/>
    <s v="Mexico"/>
    <x v="0"/>
    <s v="Medium"/>
    <n v="727"/>
    <n v="3"/>
    <n v="12"/>
    <n v="8724"/>
    <n v="610.67999999999995"/>
    <n v="8113.32"/>
    <n v="2181"/>
    <n v="5932.32"/>
    <n v="0.73118279569892475"/>
    <d v="2014-02-01T00:00:00"/>
    <n v="2"/>
    <x v="8"/>
    <x v="0"/>
  </r>
  <r>
    <s v="Channel Partners"/>
    <x v="2"/>
    <x v="0"/>
    <s v="Canada"/>
    <x v="0"/>
    <s v="Medium"/>
    <n v="1884"/>
    <n v="3"/>
    <n v="12"/>
    <n v="22608"/>
    <n v="1582.56"/>
    <n v="21025.439999999999"/>
    <n v="5652"/>
    <n v="15373.439999999999"/>
    <n v="0.73118279569892475"/>
    <d v="2014-08-01T00:00:00"/>
    <n v="8"/>
    <x v="5"/>
    <x v="0"/>
  </r>
  <r>
    <s v="Government"/>
    <x v="0"/>
    <x v="3"/>
    <s v="Mexico"/>
    <x v="0"/>
    <s v="Medium"/>
    <n v="1834"/>
    <n v="3"/>
    <n v="20"/>
    <n v="36680"/>
    <n v="2567.6"/>
    <n v="34112.400000000001"/>
    <n v="18340"/>
    <n v="15772.400000000001"/>
    <n v="0.4623655913978495"/>
    <d v="2013-09-01T00:00:00"/>
    <n v="9"/>
    <x v="6"/>
    <x v="1"/>
  </r>
  <r>
    <s v="Channel Partners"/>
    <x v="2"/>
    <x v="3"/>
    <s v="Mexico"/>
    <x v="1"/>
    <s v="Medium"/>
    <n v="2340"/>
    <n v="5"/>
    <n v="12"/>
    <n v="28080"/>
    <n v="1965.6"/>
    <n v="26114.400000000001"/>
    <n v="7020"/>
    <n v="19094.400000000001"/>
    <n v="0.73118279569892475"/>
    <d v="2014-01-01T00:00:00"/>
    <n v="1"/>
    <x v="0"/>
    <x v="0"/>
  </r>
  <r>
    <s v="Channel Partners"/>
    <x v="2"/>
    <x v="2"/>
    <s v="France"/>
    <x v="1"/>
    <s v="Medium"/>
    <n v="2342"/>
    <n v="5"/>
    <n v="12"/>
    <n v="28104"/>
    <n v="1967.28"/>
    <n v="26136.720000000001"/>
    <n v="7026"/>
    <n v="19110.72"/>
    <n v="0.73118279569892475"/>
    <d v="2014-11-01T00:00:00"/>
    <n v="11"/>
    <x v="9"/>
    <x v="0"/>
  </r>
  <r>
    <s v="Government"/>
    <x v="0"/>
    <x v="2"/>
    <s v="France"/>
    <x v="2"/>
    <s v="Medium"/>
    <n v="1031"/>
    <n v="10"/>
    <n v="7"/>
    <n v="7217"/>
    <n v="505.19"/>
    <n v="6711.81"/>
    <n v="5155"/>
    <n v="1556.8100000000004"/>
    <n v="0.23195084485407072"/>
    <d v="2013-09-01T00:00:00"/>
    <n v="9"/>
    <x v="6"/>
    <x v="1"/>
  </r>
  <r>
    <s v="Midmarket"/>
    <x v="1"/>
    <x v="0"/>
    <s v="Canada"/>
    <x v="3"/>
    <s v="Medium"/>
    <n v="1262"/>
    <n v="120"/>
    <n v="15"/>
    <n v="18930"/>
    <n v="1325.1"/>
    <n v="17604.900000000001"/>
    <n v="12620"/>
    <n v="4984.9000000000015"/>
    <n v="0.28315412186379935"/>
    <d v="2014-05-01T00:00:00"/>
    <n v="5"/>
    <x v="11"/>
    <x v="0"/>
  </r>
  <r>
    <s v="Government"/>
    <x v="0"/>
    <x v="0"/>
    <s v="Canada"/>
    <x v="3"/>
    <s v="Medium"/>
    <n v="1135"/>
    <n v="120"/>
    <n v="7"/>
    <n v="7945"/>
    <n v="556.15"/>
    <n v="7388.85"/>
    <n v="5675"/>
    <n v="1713.8500000000004"/>
    <n v="0.23195084485407069"/>
    <d v="2014-06-01T00:00:00"/>
    <n v="6"/>
    <x v="1"/>
    <x v="0"/>
  </r>
  <r>
    <s v="Government"/>
    <x v="0"/>
    <x v="4"/>
    <s v="Usa"/>
    <x v="3"/>
    <s v="Medium"/>
    <n v="547"/>
    <n v="120"/>
    <n v="7"/>
    <n v="3829"/>
    <n v="268.02999999999997"/>
    <n v="3560.9700000000003"/>
    <n v="2735"/>
    <n v="825.97000000000025"/>
    <n v="0.23195084485407072"/>
    <d v="2014-11-01T00:00:00"/>
    <n v="11"/>
    <x v="9"/>
    <x v="0"/>
  </r>
  <r>
    <s v="Government"/>
    <x v="0"/>
    <x v="0"/>
    <s v="Canada"/>
    <x v="3"/>
    <s v="Medium"/>
    <n v="1582"/>
    <n v="120"/>
    <n v="7"/>
    <n v="11074"/>
    <n v="775.18"/>
    <n v="10298.82"/>
    <n v="7910"/>
    <n v="2388.8199999999997"/>
    <n v="0.23195084485407064"/>
    <d v="2014-12-01T00:00:00"/>
    <n v="12"/>
    <x v="2"/>
    <x v="0"/>
  </r>
  <r>
    <s v="Channel Partners"/>
    <x v="2"/>
    <x v="2"/>
    <s v="France"/>
    <x v="4"/>
    <s v="Medium"/>
    <n v="1738.5"/>
    <n v="250"/>
    <n v="12"/>
    <n v="20862"/>
    <n v="1460.34"/>
    <n v="19401.66"/>
    <n v="5215.5"/>
    <n v="14186.16"/>
    <n v="0.73118279569892475"/>
    <d v="2014-04-01T00:00:00"/>
    <n v="4"/>
    <x v="10"/>
    <x v="0"/>
  </r>
  <r>
    <s v="Channel Partners"/>
    <x v="2"/>
    <x v="1"/>
    <s v="Germany"/>
    <x v="4"/>
    <s v="Medium"/>
    <n v="2215"/>
    <n v="250"/>
    <n v="12"/>
    <n v="26580"/>
    <n v="1860.6"/>
    <n v="24719.4"/>
    <n v="6645"/>
    <n v="18074.400000000001"/>
    <n v="0.73118279569892475"/>
    <d v="2013-09-01T00:00:00"/>
    <n v="9"/>
    <x v="6"/>
    <x v="1"/>
  </r>
  <r>
    <s v="Government"/>
    <x v="0"/>
    <x v="0"/>
    <s v="Canada"/>
    <x v="4"/>
    <s v="Medium"/>
    <n v="1582"/>
    <n v="250"/>
    <n v="7"/>
    <n v="11074"/>
    <n v="775.18"/>
    <n v="10298.82"/>
    <n v="7910"/>
    <n v="2388.8199999999997"/>
    <n v="0.23195084485407064"/>
    <d v="2014-12-01T00:00:00"/>
    <n v="12"/>
    <x v="2"/>
    <x v="0"/>
  </r>
  <r>
    <s v="Government"/>
    <x v="0"/>
    <x v="0"/>
    <s v="Canada"/>
    <x v="5"/>
    <s v="Medium"/>
    <n v="1135"/>
    <n v="260"/>
    <n v="7"/>
    <n v="7945"/>
    <n v="556.15"/>
    <n v="7388.85"/>
    <n v="5675"/>
    <n v="1713.8500000000004"/>
    <n v="0.23195084485407069"/>
    <d v="2014-06-01T00:00:00"/>
    <n v="6"/>
    <x v="1"/>
    <x v="0"/>
  </r>
  <r>
    <s v="Government"/>
    <x v="0"/>
    <x v="4"/>
    <s v="Usa"/>
    <x v="0"/>
    <s v="Medium"/>
    <n v="1761"/>
    <n v="3"/>
    <n v="350"/>
    <n v="616350"/>
    <n v="43144.5"/>
    <n v="573205.5"/>
    <n v="457860"/>
    <n v="115345.5"/>
    <n v="0.20122887864823349"/>
    <d v="2014-03-01T00:00:00"/>
    <n v="3"/>
    <x v="3"/>
    <x v="0"/>
  </r>
  <r>
    <s v="small business"/>
    <x v="4"/>
    <x v="2"/>
    <s v="France"/>
    <x v="0"/>
    <s v="Medium"/>
    <n v="448"/>
    <n v="3"/>
    <n v="300"/>
    <n v="134400"/>
    <n v="9408"/>
    <n v="124992"/>
    <n v="112000"/>
    <n v="12992"/>
    <n v="0.1039426523297491"/>
    <d v="2014-06-01T00:00:00"/>
    <n v="6"/>
    <x v="1"/>
    <x v="0"/>
  </r>
  <r>
    <s v="small business"/>
    <x v="4"/>
    <x v="2"/>
    <s v="France"/>
    <x v="0"/>
    <s v="Medium"/>
    <n v="2181"/>
    <n v="3"/>
    <n v="300"/>
    <n v="654300"/>
    <n v="45801"/>
    <n v="608499"/>
    <n v="545250"/>
    <n v="63249"/>
    <n v="0.1039426523297491"/>
    <d v="2014-10-01T00:00:00"/>
    <n v="10"/>
    <x v="7"/>
    <x v="0"/>
  </r>
  <r>
    <s v="Government"/>
    <x v="0"/>
    <x v="2"/>
    <s v="France"/>
    <x v="1"/>
    <s v="Medium"/>
    <n v="1976"/>
    <n v="5"/>
    <n v="20"/>
    <n v="39520"/>
    <n v="2766.4"/>
    <n v="36753.599999999999"/>
    <n v="19760"/>
    <n v="16993.599999999999"/>
    <n v="0.46236559139784944"/>
    <d v="2014-10-01T00:00:00"/>
    <n v="10"/>
    <x v="7"/>
    <x v="0"/>
  </r>
  <r>
    <s v="small business"/>
    <x v="4"/>
    <x v="2"/>
    <s v="France"/>
    <x v="1"/>
    <s v="Medium"/>
    <n v="2181"/>
    <n v="5"/>
    <n v="300"/>
    <n v="654300"/>
    <n v="45801"/>
    <n v="608499"/>
    <n v="545250"/>
    <n v="63249"/>
    <n v="0.1039426523297491"/>
    <d v="2014-10-01T00:00:00"/>
    <n v="10"/>
    <x v="7"/>
    <x v="0"/>
  </r>
  <r>
    <s v="Enterprise"/>
    <x v="3"/>
    <x v="1"/>
    <s v="Germany"/>
    <x v="1"/>
    <s v="Medium"/>
    <n v="2500"/>
    <n v="5"/>
    <n v="125"/>
    <n v="312500"/>
    <n v="21875"/>
    <n v="290625"/>
    <n v="300000"/>
    <n v="-9375"/>
    <n v="-3.2258064516129031E-2"/>
    <d v="2013-11-01T00:00:00"/>
    <n v="11"/>
    <x v="9"/>
    <x v="1"/>
  </r>
  <r>
    <s v="small business"/>
    <x v="4"/>
    <x v="0"/>
    <s v="Canada"/>
    <x v="2"/>
    <s v="Medium"/>
    <n v="1702"/>
    <n v="10"/>
    <n v="300"/>
    <n v="510600"/>
    <n v="35742"/>
    <n v="474858"/>
    <n v="425500"/>
    <n v="49358"/>
    <n v="0.1039426523297491"/>
    <d v="2014-05-01T00:00:00"/>
    <n v="5"/>
    <x v="11"/>
    <x v="0"/>
  </r>
  <r>
    <s v="small business"/>
    <x v="4"/>
    <x v="2"/>
    <s v="France"/>
    <x v="2"/>
    <s v="Medium"/>
    <n v="448"/>
    <n v="10"/>
    <n v="300"/>
    <n v="134400"/>
    <n v="9408"/>
    <n v="124992"/>
    <n v="112000"/>
    <n v="12992"/>
    <n v="0.1039426523297491"/>
    <d v="2014-06-01T00:00:00"/>
    <n v="6"/>
    <x v="1"/>
    <x v="0"/>
  </r>
  <r>
    <s v="Enterprise"/>
    <x v="3"/>
    <x v="1"/>
    <s v="Germany"/>
    <x v="2"/>
    <s v="Medium"/>
    <n v="3513"/>
    <n v="10"/>
    <n v="125"/>
    <n v="439125"/>
    <n v="30738.75"/>
    <n v="408386.25"/>
    <n v="421560"/>
    <n v="-13173.75"/>
    <n v="-3.2258064516129031E-2"/>
    <d v="2014-07-01T00:00:00"/>
    <n v="7"/>
    <x v="4"/>
    <x v="0"/>
  </r>
  <r>
    <s v="Midmarket"/>
    <x v="1"/>
    <x v="2"/>
    <s v="France"/>
    <x v="2"/>
    <s v="Medium"/>
    <n v="2101"/>
    <n v="10"/>
    <n v="15"/>
    <n v="31515"/>
    <n v="2206.0500000000002"/>
    <n v="29308.95"/>
    <n v="21010"/>
    <n v="8298.9500000000007"/>
    <n v="0.28315412186379929"/>
    <d v="2014-08-01T00:00:00"/>
    <n v="8"/>
    <x v="5"/>
    <x v="0"/>
  </r>
  <r>
    <s v="Midmarket"/>
    <x v="1"/>
    <x v="4"/>
    <s v="Usa"/>
    <x v="2"/>
    <s v="Medium"/>
    <n v="2931"/>
    <n v="10"/>
    <n v="15"/>
    <n v="43965"/>
    <n v="3077.55"/>
    <n v="40887.449999999997"/>
    <n v="29310"/>
    <n v="11577.449999999997"/>
    <n v="0.28315412186379924"/>
    <d v="2013-09-01T00:00:00"/>
    <n v="9"/>
    <x v="6"/>
    <x v="1"/>
  </r>
  <r>
    <s v="Government"/>
    <x v="0"/>
    <x v="2"/>
    <s v="France"/>
    <x v="2"/>
    <s v="Medium"/>
    <n v="1535"/>
    <n v="10"/>
    <n v="20"/>
    <n v="30700"/>
    <n v="2149"/>
    <n v="28551"/>
    <n v="15350"/>
    <n v="13201"/>
    <n v="0.46236559139784944"/>
    <d v="2014-09-01T00:00:00"/>
    <n v="9"/>
    <x v="6"/>
    <x v="0"/>
  </r>
  <r>
    <s v="small business"/>
    <x v="4"/>
    <x v="1"/>
    <s v="Germany"/>
    <x v="2"/>
    <s v="Medium"/>
    <n v="1123"/>
    <n v="10"/>
    <n v="300"/>
    <n v="336900"/>
    <n v="23583"/>
    <n v="313317"/>
    <n v="280750"/>
    <n v="32567"/>
    <n v="0.1039426523297491"/>
    <d v="2013-09-01T00:00:00"/>
    <n v="9"/>
    <x v="6"/>
    <x v="1"/>
  </r>
  <r>
    <s v="small business"/>
    <x v="4"/>
    <x v="0"/>
    <s v="Canada"/>
    <x v="2"/>
    <s v="Medium"/>
    <n v="1404"/>
    <n v="10"/>
    <n v="300"/>
    <n v="421200"/>
    <n v="29484"/>
    <n v="391716"/>
    <n v="351000"/>
    <n v="40716"/>
    <n v="0.1039426523297491"/>
    <d v="2013-11-01T00:00:00"/>
    <n v="11"/>
    <x v="9"/>
    <x v="1"/>
  </r>
  <r>
    <s v="Channel Partners"/>
    <x v="2"/>
    <x v="3"/>
    <s v="Mexico"/>
    <x v="2"/>
    <s v="Medium"/>
    <n v="2763"/>
    <n v="10"/>
    <n v="12"/>
    <n v="33156"/>
    <n v="2320.92"/>
    <n v="30835.08"/>
    <n v="8289"/>
    <n v="22546.080000000002"/>
    <n v="0.73118279569892475"/>
    <d v="2013-11-01T00:00:00"/>
    <n v="11"/>
    <x v="9"/>
    <x v="1"/>
  </r>
  <r>
    <s v="Government"/>
    <x v="0"/>
    <x v="1"/>
    <s v="Germany"/>
    <x v="2"/>
    <s v="Medium"/>
    <n v="2125"/>
    <n v="10"/>
    <n v="7"/>
    <n v="14875"/>
    <n v="1041.25"/>
    <n v="13833.75"/>
    <n v="10625"/>
    <n v="3208.75"/>
    <n v="0.23195084485407066"/>
    <d v="2013-12-01T00:00:00"/>
    <n v="12"/>
    <x v="2"/>
    <x v="1"/>
  </r>
  <r>
    <s v="small business"/>
    <x v="4"/>
    <x v="2"/>
    <s v="France"/>
    <x v="3"/>
    <s v="Medium"/>
    <n v="1659"/>
    <n v="120"/>
    <n v="300"/>
    <n v="497700"/>
    <n v="34839"/>
    <n v="462861"/>
    <n v="414750"/>
    <n v="48111"/>
    <n v="0.1039426523297491"/>
    <d v="2014-07-01T00:00:00"/>
    <n v="7"/>
    <x v="4"/>
    <x v="0"/>
  </r>
  <r>
    <s v="Government"/>
    <x v="0"/>
    <x v="3"/>
    <s v="Mexico"/>
    <x v="3"/>
    <s v="Medium"/>
    <n v="609"/>
    <n v="120"/>
    <n v="20"/>
    <n v="12180"/>
    <n v="852.6"/>
    <n v="11327.4"/>
    <n v="6090"/>
    <n v="5237.3999999999996"/>
    <n v="0.46236559139784944"/>
    <d v="2014-08-01T00:00:00"/>
    <n v="8"/>
    <x v="5"/>
    <x v="0"/>
  </r>
  <r>
    <s v="Enterprise"/>
    <x v="3"/>
    <x v="1"/>
    <s v="Germany"/>
    <x v="3"/>
    <s v="Medium"/>
    <n v="2087"/>
    <n v="120"/>
    <n v="125"/>
    <n v="260875"/>
    <n v="18261.25"/>
    <n v="242613.75"/>
    <n v="250440"/>
    <n v="-7826.25"/>
    <n v="-3.2258064516129031E-2"/>
    <d v="2014-09-01T00:00:00"/>
    <n v="9"/>
    <x v="6"/>
    <x v="0"/>
  </r>
  <r>
    <s v="Government"/>
    <x v="0"/>
    <x v="2"/>
    <s v="France"/>
    <x v="3"/>
    <s v="Medium"/>
    <n v="1976"/>
    <n v="120"/>
    <n v="20"/>
    <n v="39520"/>
    <n v="2766.4"/>
    <n v="36753.599999999999"/>
    <n v="19760"/>
    <n v="16993.599999999999"/>
    <n v="0.46236559139784944"/>
    <d v="2014-10-01T00:00:00"/>
    <n v="10"/>
    <x v="7"/>
    <x v="0"/>
  </r>
  <r>
    <s v="Government"/>
    <x v="0"/>
    <x v="4"/>
    <s v="Usa"/>
    <x v="3"/>
    <s v="Medium"/>
    <n v="1421"/>
    <n v="120"/>
    <n v="20"/>
    <n v="28420"/>
    <n v="1989.4"/>
    <n v="26430.6"/>
    <n v="14210"/>
    <n v="12220.599999999999"/>
    <n v="0.46236559139784944"/>
    <d v="2013-12-01T00:00:00"/>
    <n v="12"/>
    <x v="2"/>
    <x v="1"/>
  </r>
  <r>
    <s v="small business"/>
    <x v="4"/>
    <x v="4"/>
    <s v="Usa"/>
    <x v="3"/>
    <s v="Medium"/>
    <n v="1372"/>
    <n v="120"/>
    <n v="300"/>
    <n v="411600"/>
    <n v="28812"/>
    <n v="382788"/>
    <n v="343000"/>
    <n v="39788"/>
    <n v="0.1039426523297491"/>
    <d v="2014-12-01T00:00:00"/>
    <n v="12"/>
    <x v="2"/>
    <x v="0"/>
  </r>
  <r>
    <s v="Government"/>
    <x v="0"/>
    <x v="1"/>
    <s v="Germany"/>
    <x v="3"/>
    <s v="Medium"/>
    <n v="588"/>
    <n v="120"/>
    <n v="20"/>
    <n v="11760"/>
    <n v="823.2"/>
    <n v="10936.8"/>
    <n v="5880"/>
    <n v="5056.7999999999993"/>
    <n v="0.46236559139784944"/>
    <d v="2013-12-01T00:00:00"/>
    <n v="12"/>
    <x v="2"/>
    <x v="1"/>
  </r>
  <r>
    <s v="Channel Partners"/>
    <x v="2"/>
    <x v="0"/>
    <s v="Canada"/>
    <x v="4"/>
    <s v="Medium"/>
    <n v="3244.5"/>
    <n v="250"/>
    <n v="12"/>
    <n v="38934"/>
    <n v="2725.38"/>
    <n v="36208.620000000003"/>
    <n v="9733.5"/>
    <n v="26475.120000000003"/>
    <n v="0.73118279569892475"/>
    <d v="2014-01-01T00:00:00"/>
    <n v="1"/>
    <x v="0"/>
    <x v="0"/>
  </r>
  <r>
    <s v="small business"/>
    <x v="4"/>
    <x v="2"/>
    <s v="France"/>
    <x v="4"/>
    <s v="Medium"/>
    <n v="959"/>
    <n v="250"/>
    <n v="300"/>
    <n v="287700"/>
    <n v="20139"/>
    <n v="267561"/>
    <n v="239750"/>
    <n v="27811"/>
    <n v="0.1039426523297491"/>
    <d v="2014-02-01T00:00:00"/>
    <n v="2"/>
    <x v="8"/>
    <x v="0"/>
  </r>
  <r>
    <s v="small business"/>
    <x v="4"/>
    <x v="3"/>
    <s v="Mexico"/>
    <x v="4"/>
    <s v="Medium"/>
    <n v="2747"/>
    <n v="250"/>
    <n v="300"/>
    <n v="824100"/>
    <n v="57687"/>
    <n v="766413"/>
    <n v="686750"/>
    <n v="79663"/>
    <n v="0.1039426523297491"/>
    <d v="2014-02-01T00:00:00"/>
    <n v="2"/>
    <x v="8"/>
    <x v="0"/>
  </r>
  <r>
    <s v="Enterprise"/>
    <x v="3"/>
    <x v="0"/>
    <s v="Canada"/>
    <x v="5"/>
    <s v="Medium"/>
    <n v="1645"/>
    <n v="260"/>
    <n v="125"/>
    <n v="205625"/>
    <n v="14393.75"/>
    <n v="191231.25"/>
    <n v="197400"/>
    <n v="-6168.75"/>
    <n v="-3.2258064516129031E-2"/>
    <d v="2014-05-01T00:00:00"/>
    <n v="5"/>
    <x v="11"/>
    <x v="0"/>
  </r>
  <r>
    <s v="Government"/>
    <x v="0"/>
    <x v="2"/>
    <s v="France"/>
    <x v="5"/>
    <s v="Medium"/>
    <n v="2876"/>
    <n v="260"/>
    <n v="350"/>
    <n v="1006600"/>
    <n v="70462"/>
    <n v="936138"/>
    <n v="747760"/>
    <n v="188378"/>
    <n v="0.20122887864823349"/>
    <d v="2014-09-01T00:00:00"/>
    <n v="9"/>
    <x v="6"/>
    <x v="0"/>
  </r>
  <r>
    <s v="Enterprise"/>
    <x v="3"/>
    <x v="1"/>
    <s v="Germany"/>
    <x v="5"/>
    <s v="Medium"/>
    <n v="994"/>
    <n v="260"/>
    <n v="125"/>
    <n v="124250"/>
    <n v="8697.5"/>
    <n v="115552.5"/>
    <n v="119280"/>
    <n v="-3727.5"/>
    <n v="-3.2258064516129031E-2"/>
    <d v="2013-09-01T00:00:00"/>
    <n v="9"/>
    <x v="6"/>
    <x v="1"/>
  </r>
  <r>
    <s v="Government"/>
    <x v="0"/>
    <x v="0"/>
    <s v="Canada"/>
    <x v="5"/>
    <s v="Medium"/>
    <n v="1118"/>
    <n v="260"/>
    <n v="20"/>
    <n v="22360"/>
    <n v="1565.2"/>
    <n v="20794.8"/>
    <n v="11180"/>
    <n v="9614.7999999999993"/>
    <n v="0.46236559139784944"/>
    <d v="2014-11-01T00:00:00"/>
    <n v="11"/>
    <x v="9"/>
    <x v="0"/>
  </r>
  <r>
    <s v="small business"/>
    <x v="4"/>
    <x v="4"/>
    <s v="Usa"/>
    <x v="5"/>
    <s v="Medium"/>
    <n v="1372"/>
    <n v="260"/>
    <n v="300"/>
    <n v="411600"/>
    <n v="28812"/>
    <n v="382788"/>
    <n v="343000"/>
    <n v="39788"/>
    <n v="0.1039426523297491"/>
    <d v="2014-12-01T00:00:00"/>
    <n v="12"/>
    <x v="2"/>
    <x v="0"/>
  </r>
  <r>
    <s v="Government"/>
    <x v="0"/>
    <x v="0"/>
    <s v="Canada"/>
    <x v="1"/>
    <s v="Medium"/>
    <n v="488"/>
    <n v="5"/>
    <n v="7"/>
    <n v="3416"/>
    <n v="273.27999999999997"/>
    <n v="3142.7200000000003"/>
    <n v="2440"/>
    <n v="702.72000000000025"/>
    <n v="0.22360248447204975"/>
    <d v="2014-02-01T00:00:00"/>
    <n v="2"/>
    <x v="8"/>
    <x v="0"/>
  </r>
  <r>
    <s v="Government"/>
    <x v="0"/>
    <x v="4"/>
    <s v="Usa"/>
    <x v="1"/>
    <s v="Medium"/>
    <n v="1282"/>
    <n v="5"/>
    <n v="20"/>
    <n v="25640"/>
    <n v="2051.1999999999998"/>
    <n v="23588.799999999999"/>
    <n v="12820"/>
    <n v="10768.8"/>
    <n v="0.45652173913043476"/>
    <d v="2014-06-01T00:00:00"/>
    <n v="6"/>
    <x v="1"/>
    <x v="0"/>
  </r>
  <r>
    <s v="Government"/>
    <x v="0"/>
    <x v="0"/>
    <s v="Canada"/>
    <x v="2"/>
    <s v="Medium"/>
    <n v="257"/>
    <n v="10"/>
    <n v="7"/>
    <n v="1799"/>
    <n v="143.91999999999999"/>
    <n v="1655.08"/>
    <n v="1285"/>
    <n v="370.07999999999993"/>
    <n v="0.22360248447204967"/>
    <d v="2014-05-01T00:00:00"/>
    <n v="5"/>
    <x v="11"/>
    <x v="0"/>
  </r>
  <r>
    <s v="Government"/>
    <x v="0"/>
    <x v="4"/>
    <s v="Usa"/>
    <x v="5"/>
    <s v="Medium"/>
    <n v="1282"/>
    <n v="260"/>
    <n v="20"/>
    <n v="25640"/>
    <n v="2051.1999999999998"/>
    <n v="23588.799999999999"/>
    <n v="12820"/>
    <n v="10768.8"/>
    <n v="0.45652173913043476"/>
    <d v="2014-06-01T00:00:00"/>
    <n v="6"/>
    <x v="1"/>
    <x v="0"/>
  </r>
  <r>
    <s v="Enterprise"/>
    <x v="3"/>
    <x v="3"/>
    <s v="Mexico"/>
    <x v="0"/>
    <s v="Medium"/>
    <n v="1540"/>
    <n v="3"/>
    <n v="125"/>
    <n v="192500"/>
    <n v="15400"/>
    <n v="177100"/>
    <n v="184800"/>
    <n v="-7700"/>
    <n v="-4.3478260869565216E-2"/>
    <d v="2014-08-01T00:00:00"/>
    <n v="8"/>
    <x v="5"/>
    <x v="0"/>
  </r>
  <r>
    <s v="Midmarket"/>
    <x v="1"/>
    <x v="2"/>
    <s v="France"/>
    <x v="0"/>
    <s v="Medium"/>
    <n v="490"/>
    <n v="3"/>
    <n v="15"/>
    <n v="7350"/>
    <n v="588"/>
    <n v="6762"/>
    <n v="4900"/>
    <n v="1862"/>
    <n v="0.27536231884057971"/>
    <d v="2014-11-01T00:00:00"/>
    <n v="11"/>
    <x v="9"/>
    <x v="0"/>
  </r>
  <r>
    <s v="Government"/>
    <x v="0"/>
    <x v="3"/>
    <s v="Mexico"/>
    <x v="0"/>
    <s v="Medium"/>
    <n v="1362"/>
    <n v="3"/>
    <n v="350"/>
    <n v="476700"/>
    <n v="38136"/>
    <n v="438564"/>
    <n v="354120"/>
    <n v="84444"/>
    <n v="0.19254658385093168"/>
    <d v="2014-12-01T00:00:00"/>
    <n v="12"/>
    <x v="2"/>
    <x v="0"/>
  </r>
  <r>
    <s v="Midmarket"/>
    <x v="1"/>
    <x v="2"/>
    <s v="France"/>
    <x v="1"/>
    <s v="Medium"/>
    <n v="2501"/>
    <n v="5"/>
    <n v="15"/>
    <n v="37515"/>
    <n v="3001.2"/>
    <n v="34513.800000000003"/>
    <n v="25010"/>
    <n v="9503.8000000000029"/>
    <n v="0.27536231884057977"/>
    <d v="2014-03-01T00:00:00"/>
    <n v="3"/>
    <x v="3"/>
    <x v="0"/>
  </r>
  <r>
    <s v="Government"/>
    <x v="0"/>
    <x v="0"/>
    <s v="Canada"/>
    <x v="1"/>
    <s v="Medium"/>
    <n v="708"/>
    <n v="5"/>
    <n v="20"/>
    <n v="14160"/>
    <n v="1132.8"/>
    <n v="13027.2"/>
    <n v="7080"/>
    <n v="5947.2000000000007"/>
    <n v="0.45652173913043481"/>
    <d v="2014-06-01T00:00:00"/>
    <n v="6"/>
    <x v="1"/>
    <x v="0"/>
  </r>
  <r>
    <s v="Government"/>
    <x v="0"/>
    <x v="1"/>
    <s v="Germany"/>
    <x v="1"/>
    <s v="Medium"/>
    <n v="645"/>
    <n v="5"/>
    <n v="20"/>
    <n v="12900"/>
    <n v="1032"/>
    <n v="11868"/>
    <n v="6450"/>
    <n v="5418"/>
    <n v="0.45652173913043476"/>
    <d v="2014-07-01T00:00:00"/>
    <n v="7"/>
    <x v="4"/>
    <x v="0"/>
  </r>
  <r>
    <s v="small business"/>
    <x v="4"/>
    <x v="2"/>
    <s v="France"/>
    <x v="1"/>
    <s v="Medium"/>
    <n v="1562"/>
    <n v="5"/>
    <n v="300"/>
    <n v="468600"/>
    <n v="37488"/>
    <n v="431112"/>
    <n v="390500"/>
    <n v="40612"/>
    <n v="9.420289855072464E-2"/>
    <d v="2014-08-01T00:00:00"/>
    <n v="8"/>
    <x v="5"/>
    <x v="0"/>
  </r>
  <r>
    <s v="small business"/>
    <x v="4"/>
    <x v="0"/>
    <s v="Canada"/>
    <x v="1"/>
    <s v="Medium"/>
    <n v="1283"/>
    <n v="5"/>
    <n v="300"/>
    <n v="384900"/>
    <n v="30792"/>
    <n v="354108"/>
    <n v="320750"/>
    <n v="33358"/>
    <n v="9.420289855072464E-2"/>
    <d v="2013-09-01T00:00:00"/>
    <n v="9"/>
    <x v="6"/>
    <x v="1"/>
  </r>
  <r>
    <s v="Midmarket"/>
    <x v="1"/>
    <x v="1"/>
    <s v="Germany"/>
    <x v="1"/>
    <s v="Medium"/>
    <n v="711"/>
    <n v="5"/>
    <n v="15"/>
    <n v="10665"/>
    <n v="853.2"/>
    <n v="9811.7999999999993"/>
    <n v="7110"/>
    <n v="2701.7999999999993"/>
    <n v="0.27536231884057966"/>
    <d v="2014-12-01T00:00:00"/>
    <n v="12"/>
    <x v="2"/>
    <x v="0"/>
  </r>
  <r>
    <s v="Enterprise"/>
    <x v="3"/>
    <x v="3"/>
    <s v="Mexico"/>
    <x v="2"/>
    <s v="Medium"/>
    <n v="1114"/>
    <n v="10"/>
    <n v="125"/>
    <n v="139250"/>
    <n v="11140"/>
    <n v="128110"/>
    <n v="133680"/>
    <n v="-5570"/>
    <n v="-4.3478260869565216E-2"/>
    <d v="2014-03-01T00:00:00"/>
    <n v="3"/>
    <x v="3"/>
    <x v="0"/>
  </r>
  <r>
    <s v="Government"/>
    <x v="0"/>
    <x v="1"/>
    <s v="Germany"/>
    <x v="2"/>
    <s v="Medium"/>
    <n v="1259"/>
    <n v="10"/>
    <n v="7"/>
    <n v="8813"/>
    <n v="705.04"/>
    <n v="8107.96"/>
    <n v="6295"/>
    <n v="1812.96"/>
    <n v="0.2236024844720497"/>
    <d v="2014-04-01T00:00:00"/>
    <n v="4"/>
    <x v="10"/>
    <x v="0"/>
  </r>
  <r>
    <s v="Government"/>
    <x v="0"/>
    <x v="1"/>
    <s v="Germany"/>
    <x v="2"/>
    <s v="Medium"/>
    <n v="1095"/>
    <n v="10"/>
    <n v="7"/>
    <n v="7665"/>
    <n v="613.20000000000005"/>
    <n v="7051.8"/>
    <n v="5475"/>
    <n v="1576.8000000000002"/>
    <n v="0.22360248447204972"/>
    <d v="2014-05-01T00:00:00"/>
    <n v="5"/>
    <x v="11"/>
    <x v="0"/>
  </r>
  <r>
    <s v="Government"/>
    <x v="0"/>
    <x v="1"/>
    <s v="Germany"/>
    <x v="2"/>
    <s v="Medium"/>
    <n v="1366"/>
    <n v="10"/>
    <n v="20"/>
    <n v="27320"/>
    <n v="2185.6"/>
    <n v="25134.400000000001"/>
    <n v="13660"/>
    <n v="11474.400000000001"/>
    <n v="0.45652173913043481"/>
    <d v="2014-06-01T00:00:00"/>
    <n v="6"/>
    <x v="1"/>
    <x v="0"/>
  </r>
  <r>
    <s v="small business"/>
    <x v="4"/>
    <x v="3"/>
    <s v="Mexico"/>
    <x v="2"/>
    <s v="Medium"/>
    <n v="2460"/>
    <n v="10"/>
    <n v="300"/>
    <n v="738000"/>
    <n v="59040"/>
    <n v="678960"/>
    <n v="615000"/>
    <n v="63960"/>
    <n v="9.420289855072464E-2"/>
    <d v="2014-06-01T00:00:00"/>
    <n v="6"/>
    <x v="1"/>
    <x v="0"/>
  </r>
  <r>
    <s v="Government"/>
    <x v="0"/>
    <x v="4"/>
    <s v="Usa"/>
    <x v="2"/>
    <s v="Medium"/>
    <n v="678"/>
    <n v="10"/>
    <n v="7"/>
    <n v="4746"/>
    <n v="379.68"/>
    <n v="4366.32"/>
    <n v="3390"/>
    <n v="976.31999999999971"/>
    <n v="0.22360248447204964"/>
    <d v="2014-08-01T00:00:00"/>
    <n v="8"/>
    <x v="5"/>
    <x v="0"/>
  </r>
  <r>
    <s v="Government"/>
    <x v="0"/>
    <x v="1"/>
    <s v="Germany"/>
    <x v="2"/>
    <s v="Medium"/>
    <n v="1598"/>
    <n v="10"/>
    <n v="7"/>
    <n v="11186"/>
    <n v="894.88"/>
    <n v="10291.120000000001"/>
    <n v="7990"/>
    <n v="2301.1200000000008"/>
    <n v="0.22360248447204975"/>
    <d v="2014-08-01T00:00:00"/>
    <n v="8"/>
    <x v="5"/>
    <x v="0"/>
  </r>
  <r>
    <s v="Government"/>
    <x v="0"/>
    <x v="1"/>
    <s v="Germany"/>
    <x v="2"/>
    <s v="Medium"/>
    <n v="2409"/>
    <n v="10"/>
    <n v="7"/>
    <n v="16863"/>
    <n v="1349.04"/>
    <n v="15513.96"/>
    <n v="12045"/>
    <n v="3468.9599999999991"/>
    <n v="0.22360248447204964"/>
    <d v="2013-09-01T00:00:00"/>
    <n v="9"/>
    <x v="6"/>
    <x v="1"/>
  </r>
  <r>
    <s v="Government"/>
    <x v="0"/>
    <x v="1"/>
    <s v="Germany"/>
    <x v="2"/>
    <s v="Medium"/>
    <n v="1934"/>
    <n v="10"/>
    <n v="20"/>
    <n v="38680"/>
    <n v="3094.4"/>
    <n v="35585.599999999999"/>
    <n v="19340"/>
    <n v="16245.599999999999"/>
    <n v="0.45652173913043476"/>
    <d v="2014-09-01T00:00:00"/>
    <n v="9"/>
    <x v="6"/>
    <x v="0"/>
  </r>
  <r>
    <s v="Government"/>
    <x v="0"/>
    <x v="3"/>
    <s v="Mexico"/>
    <x v="2"/>
    <s v="Medium"/>
    <n v="2993"/>
    <n v="10"/>
    <n v="20"/>
    <n v="59860"/>
    <n v="4788.8"/>
    <n v="55071.199999999997"/>
    <n v="29930"/>
    <n v="25141.199999999997"/>
    <n v="0.45652173913043476"/>
    <d v="2014-09-01T00:00:00"/>
    <n v="9"/>
    <x v="6"/>
    <x v="0"/>
  </r>
  <r>
    <s v="Government"/>
    <x v="0"/>
    <x v="1"/>
    <s v="Germany"/>
    <x v="2"/>
    <s v="Medium"/>
    <n v="2146"/>
    <n v="10"/>
    <n v="350"/>
    <n v="751100"/>
    <n v="60088"/>
    <n v="691012"/>
    <n v="557960"/>
    <n v="133052"/>
    <n v="0.19254658385093168"/>
    <d v="2013-11-01T00:00:00"/>
    <n v="11"/>
    <x v="9"/>
    <x v="1"/>
  </r>
  <r>
    <s v="Government"/>
    <x v="0"/>
    <x v="3"/>
    <s v="Mexico"/>
    <x v="2"/>
    <s v="Medium"/>
    <n v="1946"/>
    <n v="10"/>
    <n v="7"/>
    <n v="13622"/>
    <n v="1089.76"/>
    <n v="12532.24"/>
    <n v="9730"/>
    <n v="2802.24"/>
    <n v="0.22360248447204967"/>
    <d v="2013-12-01T00:00:00"/>
    <n v="12"/>
    <x v="2"/>
    <x v="1"/>
  </r>
  <r>
    <s v="Government"/>
    <x v="0"/>
    <x v="3"/>
    <s v="Mexico"/>
    <x v="2"/>
    <s v="Medium"/>
    <n v="1362"/>
    <n v="10"/>
    <n v="350"/>
    <n v="476700"/>
    <n v="38136"/>
    <n v="438564"/>
    <n v="354120"/>
    <n v="84444"/>
    <n v="0.19254658385093168"/>
    <d v="2014-12-01T00:00:00"/>
    <n v="12"/>
    <x v="2"/>
    <x v="0"/>
  </r>
  <r>
    <s v="Channel Partners"/>
    <x v="2"/>
    <x v="0"/>
    <s v="Canada"/>
    <x v="3"/>
    <s v="Medium"/>
    <n v="598"/>
    <n v="120"/>
    <n v="12"/>
    <n v="7176"/>
    <n v="574.08000000000004"/>
    <n v="6601.92"/>
    <n v="1794"/>
    <n v="4807.92"/>
    <n v="0.72826086956521741"/>
    <d v="2014-03-01T00:00:00"/>
    <n v="3"/>
    <x v="3"/>
    <x v="0"/>
  </r>
  <r>
    <s v="Government"/>
    <x v="0"/>
    <x v="4"/>
    <s v="Usa"/>
    <x v="3"/>
    <s v="Medium"/>
    <n v="2907"/>
    <n v="120"/>
    <n v="7"/>
    <n v="20349"/>
    <n v="1627.92"/>
    <n v="18721.080000000002"/>
    <n v="14535"/>
    <n v="4186.0800000000017"/>
    <n v="0.22360248447204975"/>
    <d v="2014-06-01T00:00:00"/>
    <n v="6"/>
    <x v="1"/>
    <x v="0"/>
  </r>
  <r>
    <s v="Government"/>
    <x v="0"/>
    <x v="1"/>
    <s v="Germany"/>
    <x v="3"/>
    <s v="Medium"/>
    <n v="2338"/>
    <n v="120"/>
    <n v="7"/>
    <n v="16366"/>
    <n v="1309.28"/>
    <n v="15056.72"/>
    <n v="11690"/>
    <n v="3366.7199999999993"/>
    <n v="0.22360248447204967"/>
    <d v="2014-06-01T00:00:00"/>
    <n v="6"/>
    <x v="1"/>
    <x v="0"/>
  </r>
  <r>
    <s v="small business"/>
    <x v="4"/>
    <x v="2"/>
    <s v="France"/>
    <x v="3"/>
    <s v="Medium"/>
    <n v="386"/>
    <n v="120"/>
    <n v="300"/>
    <n v="115800"/>
    <n v="9264"/>
    <n v="106536"/>
    <n v="96500"/>
    <n v="10036"/>
    <n v="9.420289855072464E-2"/>
    <d v="2013-11-01T00:00:00"/>
    <n v="11"/>
    <x v="9"/>
    <x v="1"/>
  </r>
  <r>
    <s v="small business"/>
    <x v="4"/>
    <x v="3"/>
    <s v="Mexico"/>
    <x v="3"/>
    <s v="Medium"/>
    <n v="635"/>
    <n v="120"/>
    <n v="300"/>
    <n v="190500"/>
    <n v="15240"/>
    <n v="175260"/>
    <n v="158750"/>
    <n v="16510"/>
    <n v="9.420289855072464E-2"/>
    <d v="2014-12-01T00:00:00"/>
    <n v="12"/>
    <x v="2"/>
    <x v="0"/>
  </r>
  <r>
    <s v="Government"/>
    <x v="0"/>
    <x v="2"/>
    <s v="France"/>
    <x v="4"/>
    <s v="Medium"/>
    <n v="574.5"/>
    <n v="250"/>
    <n v="350"/>
    <n v="201075"/>
    <n v="16086"/>
    <n v="184989"/>
    <n v="149370"/>
    <n v="35619"/>
    <n v="0.19254658385093168"/>
    <d v="2014-04-01T00:00:00"/>
    <n v="4"/>
    <x v="10"/>
    <x v="0"/>
  </r>
  <r>
    <s v="Government"/>
    <x v="0"/>
    <x v="1"/>
    <s v="Germany"/>
    <x v="4"/>
    <s v="Medium"/>
    <n v="2338"/>
    <n v="250"/>
    <n v="7"/>
    <n v="16366"/>
    <n v="1309.28"/>
    <n v="15056.72"/>
    <n v="11690"/>
    <n v="3366.7199999999993"/>
    <n v="0.22360248447204967"/>
    <d v="2014-06-01T00:00:00"/>
    <n v="6"/>
    <x v="1"/>
    <x v="0"/>
  </r>
  <r>
    <s v="Government"/>
    <x v="0"/>
    <x v="2"/>
    <s v="France"/>
    <x v="4"/>
    <s v="Medium"/>
    <n v="381"/>
    <n v="250"/>
    <n v="350"/>
    <n v="133350"/>
    <n v="10668"/>
    <n v="122682"/>
    <n v="99060"/>
    <n v="23622"/>
    <n v="0.19254658385093168"/>
    <d v="2014-08-01T00:00:00"/>
    <n v="8"/>
    <x v="5"/>
    <x v="0"/>
  </r>
  <r>
    <s v="Government"/>
    <x v="0"/>
    <x v="1"/>
    <s v="Germany"/>
    <x v="4"/>
    <s v="Medium"/>
    <n v="422"/>
    <n v="250"/>
    <n v="350"/>
    <n v="147700"/>
    <n v="11816"/>
    <n v="135884"/>
    <n v="109720"/>
    <n v="26164"/>
    <n v="0.19254658385093168"/>
    <d v="2014-08-01T00:00:00"/>
    <n v="8"/>
    <x v="5"/>
    <x v="0"/>
  </r>
  <r>
    <s v="small business"/>
    <x v="4"/>
    <x v="0"/>
    <s v="Canada"/>
    <x v="4"/>
    <s v="Medium"/>
    <n v="2134"/>
    <n v="250"/>
    <n v="300"/>
    <n v="640200"/>
    <n v="51216"/>
    <n v="588984"/>
    <n v="533500"/>
    <n v="55484"/>
    <n v="9.420289855072464E-2"/>
    <d v="2014-09-01T00:00:00"/>
    <n v="9"/>
    <x v="6"/>
    <x v="0"/>
  </r>
  <r>
    <s v="small business"/>
    <x v="4"/>
    <x v="4"/>
    <s v="Usa"/>
    <x v="4"/>
    <s v="Medium"/>
    <n v="808"/>
    <n v="250"/>
    <n v="300"/>
    <n v="242400"/>
    <n v="19392"/>
    <n v="223008"/>
    <n v="202000"/>
    <n v="21008"/>
    <n v="9.420289855072464E-2"/>
    <d v="2013-12-01T00:00:00"/>
    <n v="12"/>
    <x v="2"/>
    <x v="1"/>
  </r>
  <r>
    <s v="Government"/>
    <x v="0"/>
    <x v="0"/>
    <s v="Canada"/>
    <x v="5"/>
    <s v="Medium"/>
    <n v="708"/>
    <n v="260"/>
    <n v="20"/>
    <n v="14160"/>
    <n v="1132.8"/>
    <n v="13027.2"/>
    <n v="7080"/>
    <n v="5947.2000000000007"/>
    <n v="0.45652173913043481"/>
    <d v="2014-06-01T00:00:00"/>
    <n v="6"/>
    <x v="1"/>
    <x v="0"/>
  </r>
  <r>
    <s v="Government"/>
    <x v="0"/>
    <x v="4"/>
    <s v="Usa"/>
    <x v="5"/>
    <s v="Medium"/>
    <n v="2907"/>
    <n v="260"/>
    <n v="7"/>
    <n v="20349"/>
    <n v="1627.92"/>
    <n v="18721.080000000002"/>
    <n v="14535"/>
    <n v="4186.0800000000017"/>
    <n v="0.22360248447204975"/>
    <d v="2014-06-01T00:00:00"/>
    <n v="6"/>
    <x v="1"/>
    <x v="0"/>
  </r>
  <r>
    <s v="Government"/>
    <x v="0"/>
    <x v="1"/>
    <s v="Germany"/>
    <x v="5"/>
    <s v="Medium"/>
    <n v="1366"/>
    <n v="260"/>
    <n v="20"/>
    <n v="27320"/>
    <n v="2185.6"/>
    <n v="25134.400000000001"/>
    <n v="13660"/>
    <n v="11474.400000000001"/>
    <n v="0.45652173913043481"/>
    <d v="2014-06-01T00:00:00"/>
    <n v="6"/>
    <x v="1"/>
    <x v="0"/>
  </r>
  <r>
    <s v="small business"/>
    <x v="4"/>
    <x v="3"/>
    <s v="Mexico"/>
    <x v="5"/>
    <s v="Medium"/>
    <n v="2460"/>
    <n v="260"/>
    <n v="300"/>
    <n v="738000"/>
    <n v="59040"/>
    <n v="678960"/>
    <n v="615000"/>
    <n v="63960"/>
    <n v="9.420289855072464E-2"/>
    <d v="2014-06-01T00:00:00"/>
    <n v="6"/>
    <x v="1"/>
    <x v="0"/>
  </r>
  <r>
    <s v="Government"/>
    <x v="0"/>
    <x v="1"/>
    <s v="Germany"/>
    <x v="5"/>
    <s v="Medium"/>
    <n v="1520"/>
    <n v="260"/>
    <n v="20"/>
    <n v="30400"/>
    <n v="2432"/>
    <n v="27968"/>
    <n v="15200"/>
    <n v="12768"/>
    <n v="0.45652173913043476"/>
    <d v="2014-11-01T00:00:00"/>
    <n v="11"/>
    <x v="9"/>
    <x v="0"/>
  </r>
  <r>
    <s v="Midmarket"/>
    <x v="1"/>
    <x v="1"/>
    <s v="Germany"/>
    <x v="5"/>
    <s v="Medium"/>
    <n v="711"/>
    <n v="260"/>
    <n v="15"/>
    <n v="10665"/>
    <n v="853.2"/>
    <n v="9811.7999999999993"/>
    <n v="7110"/>
    <n v="2701.7999999999993"/>
    <n v="0.27536231884057966"/>
    <d v="2014-12-01T00:00:00"/>
    <n v="12"/>
    <x v="2"/>
    <x v="0"/>
  </r>
  <r>
    <s v="Channel Partners"/>
    <x v="2"/>
    <x v="3"/>
    <s v="Mexico"/>
    <x v="5"/>
    <s v="Medium"/>
    <n v="1375"/>
    <n v="260"/>
    <n v="12"/>
    <n v="16500"/>
    <n v="1320"/>
    <n v="15180"/>
    <n v="4125"/>
    <n v="11055"/>
    <n v="0.72826086956521741"/>
    <d v="2013-12-01T00:00:00"/>
    <n v="12"/>
    <x v="2"/>
    <x v="1"/>
  </r>
  <r>
    <s v="small business"/>
    <x v="4"/>
    <x v="3"/>
    <s v="Mexico"/>
    <x v="5"/>
    <s v="Medium"/>
    <n v="635"/>
    <n v="260"/>
    <n v="300"/>
    <n v="190500"/>
    <n v="15240"/>
    <n v="175260"/>
    <n v="158750"/>
    <n v="16510"/>
    <n v="9.420289855072464E-2"/>
    <d v="2014-12-01T00:00:00"/>
    <n v="12"/>
    <x v="2"/>
    <x v="0"/>
  </r>
  <r>
    <s v="Government"/>
    <x v="0"/>
    <x v="4"/>
    <s v="Usa"/>
    <x v="4"/>
    <s v="Medium"/>
    <n v="436.5"/>
    <n v="250"/>
    <n v="20"/>
    <n v="8730"/>
    <n v="698.40000000000009"/>
    <n v="8031.6"/>
    <n v="4365"/>
    <n v="3666.6000000000004"/>
    <n v="0.45652173913043481"/>
    <d v="2014-07-01T00:00:00"/>
    <n v="7"/>
    <x v="4"/>
    <x v="0"/>
  </r>
  <r>
    <s v="small business"/>
    <x v="4"/>
    <x v="0"/>
    <s v="Canada"/>
    <x v="0"/>
    <s v="Medium"/>
    <n v="1094"/>
    <n v="3"/>
    <n v="300"/>
    <n v="328200"/>
    <n v="29538"/>
    <n v="298662"/>
    <n v="273500"/>
    <n v="25162"/>
    <n v="8.4249084249084255E-2"/>
    <d v="2014-06-01T00:00:00"/>
    <n v="6"/>
    <x v="1"/>
    <x v="0"/>
  </r>
  <r>
    <s v="Channel Partners"/>
    <x v="2"/>
    <x v="3"/>
    <s v="Mexico"/>
    <x v="0"/>
    <s v="Medium"/>
    <n v="367"/>
    <n v="3"/>
    <n v="12"/>
    <n v="4404"/>
    <n v="396.36"/>
    <n v="4007.64"/>
    <n v="1101"/>
    <n v="2906.64"/>
    <n v="0.72527472527472525"/>
    <d v="2013-10-01T00:00:00"/>
    <n v="10"/>
    <x v="7"/>
    <x v="1"/>
  </r>
  <r>
    <s v="small business"/>
    <x v="4"/>
    <x v="0"/>
    <s v="Canada"/>
    <x v="1"/>
    <s v="Medium"/>
    <n v="3802.5"/>
    <n v="5"/>
    <n v="300"/>
    <n v="1140750"/>
    <n v="102667.5"/>
    <n v="1038082.5"/>
    <n v="950625"/>
    <n v="87457.5"/>
    <n v="8.4249084249084255E-2"/>
    <d v="2014-04-01T00:00:00"/>
    <n v="4"/>
    <x v="10"/>
    <x v="0"/>
  </r>
  <r>
    <s v="Government"/>
    <x v="0"/>
    <x v="2"/>
    <s v="France"/>
    <x v="1"/>
    <s v="Medium"/>
    <n v="1666"/>
    <n v="5"/>
    <n v="350"/>
    <n v="583100"/>
    <n v="52479"/>
    <n v="530621"/>
    <n v="433160"/>
    <n v="97461"/>
    <n v="0.18367346938775511"/>
    <d v="2014-05-01T00:00:00"/>
    <n v="5"/>
    <x v="11"/>
    <x v="0"/>
  </r>
  <r>
    <s v="small business"/>
    <x v="4"/>
    <x v="2"/>
    <s v="France"/>
    <x v="1"/>
    <s v="Medium"/>
    <n v="322"/>
    <n v="5"/>
    <n v="300"/>
    <n v="96600"/>
    <n v="8694"/>
    <n v="87906"/>
    <n v="80500"/>
    <n v="7406"/>
    <n v="8.4249084249084255E-2"/>
    <d v="2013-09-01T00:00:00"/>
    <n v="9"/>
    <x v="6"/>
    <x v="1"/>
  </r>
  <r>
    <s v="Channel Partners"/>
    <x v="2"/>
    <x v="0"/>
    <s v="Canada"/>
    <x v="1"/>
    <s v="Medium"/>
    <n v="2321"/>
    <n v="5"/>
    <n v="12"/>
    <n v="27852"/>
    <n v="2506.6799999999998"/>
    <n v="25345.32"/>
    <n v="6963"/>
    <n v="18382.32"/>
    <n v="0.72527472527472525"/>
    <d v="2014-11-01T00:00:00"/>
    <n v="11"/>
    <x v="9"/>
    <x v="0"/>
  </r>
  <r>
    <s v="Enterprise"/>
    <x v="3"/>
    <x v="2"/>
    <s v="France"/>
    <x v="1"/>
    <s v="Medium"/>
    <n v="1857"/>
    <n v="5"/>
    <n v="125"/>
    <n v="232125"/>
    <n v="20891.25"/>
    <n v="211233.75"/>
    <n v="222840"/>
    <n v="-11606.25"/>
    <n v="-5.4945054945054944E-2"/>
    <d v="2013-11-01T00:00:00"/>
    <n v="11"/>
    <x v="9"/>
    <x v="1"/>
  </r>
  <r>
    <s v="Government"/>
    <x v="0"/>
    <x v="0"/>
    <s v="Canada"/>
    <x v="1"/>
    <s v="Medium"/>
    <n v="1611"/>
    <n v="5"/>
    <n v="7"/>
    <n v="11277"/>
    <n v="1014.93"/>
    <n v="10262.07"/>
    <n v="8055"/>
    <n v="2207.0699999999997"/>
    <n v="0.21507064364207218"/>
    <d v="2013-12-01T00:00:00"/>
    <n v="12"/>
    <x v="2"/>
    <x v="1"/>
  </r>
  <r>
    <s v="Enterprise"/>
    <x v="3"/>
    <x v="4"/>
    <s v="Usa"/>
    <x v="1"/>
    <s v="Medium"/>
    <n v="2797"/>
    <n v="5"/>
    <n v="125"/>
    <n v="349625"/>
    <n v="31466.25"/>
    <n v="318158.75"/>
    <n v="335640"/>
    <n v="-17481.25"/>
    <n v="-5.4945054945054944E-2"/>
    <d v="2014-12-01T00:00:00"/>
    <n v="12"/>
    <x v="2"/>
    <x v="0"/>
  </r>
  <r>
    <s v="small business"/>
    <x v="4"/>
    <x v="1"/>
    <s v="Germany"/>
    <x v="1"/>
    <s v="Medium"/>
    <n v="334"/>
    <n v="5"/>
    <n v="300"/>
    <n v="100200"/>
    <n v="9018"/>
    <n v="91182"/>
    <n v="83500"/>
    <n v="7682"/>
    <n v="8.4249084249084255E-2"/>
    <d v="2013-12-01T00:00:00"/>
    <n v="12"/>
    <x v="2"/>
    <x v="1"/>
  </r>
  <r>
    <s v="small business"/>
    <x v="4"/>
    <x v="3"/>
    <s v="Mexico"/>
    <x v="2"/>
    <s v="Medium"/>
    <n v="2565"/>
    <n v="10"/>
    <n v="300"/>
    <n v="769500"/>
    <n v="69255"/>
    <n v="700245"/>
    <n v="641250"/>
    <n v="58995"/>
    <n v="8.4249084249084255E-2"/>
    <d v="2014-01-01T00:00:00"/>
    <n v="1"/>
    <x v="0"/>
    <x v="0"/>
  </r>
  <r>
    <s v="Government"/>
    <x v="0"/>
    <x v="3"/>
    <s v="Mexico"/>
    <x v="2"/>
    <s v="Medium"/>
    <n v="2417"/>
    <n v="10"/>
    <n v="350"/>
    <n v="845950"/>
    <n v="76135.5"/>
    <n v="769814.5"/>
    <n v="628420"/>
    <n v="141394.5"/>
    <n v="0.18367346938775511"/>
    <d v="2014-01-01T00:00:00"/>
    <n v="1"/>
    <x v="0"/>
    <x v="0"/>
  </r>
  <r>
    <s v="Midmarket"/>
    <x v="1"/>
    <x v="4"/>
    <s v="Usa"/>
    <x v="2"/>
    <s v="Medium"/>
    <n v="3675"/>
    <n v="10"/>
    <n v="15"/>
    <n v="55125"/>
    <n v="4961.25"/>
    <n v="50163.75"/>
    <n v="36750"/>
    <n v="13413.75"/>
    <n v="0.26739926739926739"/>
    <d v="2014-04-01T00:00:00"/>
    <n v="4"/>
    <x v="10"/>
    <x v="0"/>
  </r>
  <r>
    <s v="small business"/>
    <x v="4"/>
    <x v="0"/>
    <s v="Canada"/>
    <x v="2"/>
    <s v="Medium"/>
    <n v="1094"/>
    <n v="10"/>
    <n v="300"/>
    <n v="328200"/>
    <n v="29538"/>
    <n v="298662"/>
    <n v="273500"/>
    <n v="25162"/>
    <n v="8.4249084249084255E-2"/>
    <d v="2014-06-01T00:00:00"/>
    <n v="6"/>
    <x v="1"/>
    <x v="0"/>
  </r>
  <r>
    <s v="Midmarket"/>
    <x v="1"/>
    <x v="2"/>
    <s v="France"/>
    <x v="2"/>
    <s v="Medium"/>
    <n v="1227"/>
    <n v="10"/>
    <n v="15"/>
    <n v="18405"/>
    <n v="1656.45"/>
    <n v="16748.55"/>
    <n v="12270"/>
    <n v="4478.5499999999993"/>
    <n v="0.26739926739926739"/>
    <d v="2014-10-01T00:00:00"/>
    <n v="10"/>
    <x v="7"/>
    <x v="0"/>
  </r>
  <r>
    <s v="Channel Partners"/>
    <x v="2"/>
    <x v="3"/>
    <s v="Mexico"/>
    <x v="2"/>
    <s v="Medium"/>
    <n v="367"/>
    <n v="10"/>
    <n v="12"/>
    <n v="4404"/>
    <n v="396.36"/>
    <n v="4007.64"/>
    <n v="1101"/>
    <n v="2906.64"/>
    <n v="0.72527472527472525"/>
    <d v="2013-10-01T00:00:00"/>
    <n v="10"/>
    <x v="7"/>
    <x v="1"/>
  </r>
  <r>
    <s v="small business"/>
    <x v="4"/>
    <x v="2"/>
    <s v="France"/>
    <x v="2"/>
    <s v="Medium"/>
    <n v="1324"/>
    <n v="10"/>
    <n v="300"/>
    <n v="397200"/>
    <n v="35748"/>
    <n v="361452"/>
    <n v="331000"/>
    <n v="30452"/>
    <n v="8.4249084249084255E-2"/>
    <d v="2014-11-01T00:00:00"/>
    <n v="11"/>
    <x v="9"/>
    <x v="0"/>
  </r>
  <r>
    <s v="Channel Partners"/>
    <x v="2"/>
    <x v="1"/>
    <s v="Germany"/>
    <x v="2"/>
    <s v="Medium"/>
    <n v="1775"/>
    <n v="10"/>
    <n v="12"/>
    <n v="21300"/>
    <n v="1917"/>
    <n v="19383"/>
    <n v="5325"/>
    <n v="14058"/>
    <n v="0.72527472527472525"/>
    <d v="2013-11-01T00:00:00"/>
    <n v="11"/>
    <x v="9"/>
    <x v="1"/>
  </r>
  <r>
    <s v="Enterprise"/>
    <x v="3"/>
    <x v="4"/>
    <s v="Usa"/>
    <x v="2"/>
    <s v="Medium"/>
    <n v="2797"/>
    <n v="10"/>
    <n v="125"/>
    <n v="349625"/>
    <n v="31466.25"/>
    <n v="318158.75"/>
    <n v="335640"/>
    <n v="-17481.25"/>
    <n v="-5.4945054945054944E-2"/>
    <d v="2014-12-01T00:00:00"/>
    <n v="12"/>
    <x v="2"/>
    <x v="0"/>
  </r>
  <r>
    <s v="Midmarket"/>
    <x v="1"/>
    <x v="3"/>
    <s v="Mexico"/>
    <x v="3"/>
    <s v="Medium"/>
    <n v="245"/>
    <n v="120"/>
    <n v="15"/>
    <n v="3675"/>
    <n v="330.75"/>
    <n v="3344.25"/>
    <n v="2450"/>
    <n v="894.25"/>
    <n v="0.26739926739926739"/>
    <d v="2014-05-01T00:00:00"/>
    <n v="5"/>
    <x v="11"/>
    <x v="0"/>
  </r>
  <r>
    <s v="small business"/>
    <x v="4"/>
    <x v="0"/>
    <s v="Canada"/>
    <x v="3"/>
    <s v="Medium"/>
    <n v="3793.5"/>
    <n v="120"/>
    <n v="300"/>
    <n v="1138050"/>
    <n v="102424.5"/>
    <n v="1035625.5"/>
    <n v="948375"/>
    <n v="87250.5"/>
    <n v="8.4249084249084255E-2"/>
    <d v="2014-07-01T00:00:00"/>
    <n v="7"/>
    <x v="4"/>
    <x v="0"/>
  </r>
  <r>
    <s v="Government"/>
    <x v="0"/>
    <x v="1"/>
    <s v="Germany"/>
    <x v="3"/>
    <s v="Medium"/>
    <n v="1307"/>
    <n v="120"/>
    <n v="350"/>
    <n v="457450"/>
    <n v="41170.5"/>
    <n v="416279.5"/>
    <n v="339820"/>
    <n v="76459.5"/>
    <n v="0.18367346938775511"/>
    <d v="2014-07-01T00:00:00"/>
    <n v="7"/>
    <x v="4"/>
    <x v="0"/>
  </r>
  <r>
    <s v="Enterprise"/>
    <x v="3"/>
    <x v="0"/>
    <s v="Canada"/>
    <x v="3"/>
    <s v="Medium"/>
    <n v="567"/>
    <n v="120"/>
    <n v="125"/>
    <n v="70875"/>
    <n v="6378.75"/>
    <n v="64496.25"/>
    <n v="68040"/>
    <n v="-3543.75"/>
    <n v="-5.4945054945054944E-2"/>
    <d v="2014-09-01T00:00:00"/>
    <n v="9"/>
    <x v="6"/>
    <x v="0"/>
  </r>
  <r>
    <s v="Enterprise"/>
    <x v="3"/>
    <x v="3"/>
    <s v="Mexico"/>
    <x v="3"/>
    <s v="Medium"/>
    <n v="2110"/>
    <n v="120"/>
    <n v="125"/>
    <n v="263750"/>
    <n v="23737.5"/>
    <n v="240012.5"/>
    <n v="253200"/>
    <n v="-13187.5"/>
    <n v="-5.4945054945054944E-2"/>
    <d v="2014-09-01T00:00:00"/>
    <n v="9"/>
    <x v="6"/>
    <x v="0"/>
  </r>
  <r>
    <s v="Government"/>
    <x v="0"/>
    <x v="0"/>
    <s v="Canada"/>
    <x v="3"/>
    <s v="Medium"/>
    <n v="1269"/>
    <n v="120"/>
    <n v="350"/>
    <n v="444150"/>
    <n v="39973.5"/>
    <n v="404176.5"/>
    <n v="329940"/>
    <n v="74236.5"/>
    <n v="0.18367346938775511"/>
    <d v="2014-10-01T00:00:00"/>
    <n v="10"/>
    <x v="7"/>
    <x v="0"/>
  </r>
  <r>
    <s v="Channel Partners"/>
    <x v="2"/>
    <x v="4"/>
    <s v="Usa"/>
    <x v="4"/>
    <s v="Medium"/>
    <n v="1956"/>
    <n v="250"/>
    <n v="12"/>
    <n v="23472"/>
    <n v="2112.48"/>
    <n v="21359.52"/>
    <n v="5868"/>
    <n v="15491.52"/>
    <n v="0.72527472527472525"/>
    <d v="2014-01-01T00:00:00"/>
    <n v="1"/>
    <x v="0"/>
    <x v="0"/>
  </r>
  <r>
    <s v="small business"/>
    <x v="4"/>
    <x v="1"/>
    <s v="Germany"/>
    <x v="4"/>
    <s v="Medium"/>
    <n v="2659"/>
    <n v="250"/>
    <n v="300"/>
    <n v="797700"/>
    <n v="71793"/>
    <n v="725907"/>
    <n v="664750"/>
    <n v="61157"/>
    <n v="8.4249084249084255E-2"/>
    <d v="2014-02-01T00:00:00"/>
    <n v="2"/>
    <x v="8"/>
    <x v="0"/>
  </r>
  <r>
    <s v="Government"/>
    <x v="0"/>
    <x v="4"/>
    <s v="Usa"/>
    <x v="4"/>
    <s v="Medium"/>
    <n v="1351.5"/>
    <n v="250"/>
    <n v="350"/>
    <n v="473025"/>
    <n v="42572.25"/>
    <n v="430452.75"/>
    <n v="351390"/>
    <n v="79062.75"/>
    <n v="0.18367346938775511"/>
    <d v="2014-04-01T00:00:00"/>
    <n v="4"/>
    <x v="10"/>
    <x v="0"/>
  </r>
  <r>
    <s v="Channel Partners"/>
    <x v="2"/>
    <x v="1"/>
    <s v="Germany"/>
    <x v="4"/>
    <s v="Medium"/>
    <n v="880"/>
    <n v="250"/>
    <n v="12"/>
    <n v="10560"/>
    <n v="950.4"/>
    <n v="9609.6"/>
    <n v="2640"/>
    <n v="6969.6"/>
    <n v="0.72527472527472525"/>
    <d v="2014-05-01T00:00:00"/>
    <n v="5"/>
    <x v="11"/>
    <x v="0"/>
  </r>
  <r>
    <s v="small business"/>
    <x v="4"/>
    <x v="4"/>
    <s v="Usa"/>
    <x v="4"/>
    <s v="Medium"/>
    <n v="1867"/>
    <n v="250"/>
    <n v="300"/>
    <n v="560100"/>
    <n v="50409"/>
    <n v="509691"/>
    <n v="466750"/>
    <n v="42941"/>
    <n v="8.4249084249084255E-2"/>
    <d v="2014-09-01T00:00:00"/>
    <n v="9"/>
    <x v="6"/>
    <x v="0"/>
  </r>
  <r>
    <s v="Channel Partners"/>
    <x v="2"/>
    <x v="2"/>
    <s v="France"/>
    <x v="4"/>
    <s v="Medium"/>
    <n v="2234"/>
    <n v="250"/>
    <n v="12"/>
    <n v="26808"/>
    <n v="2412.7199999999998"/>
    <n v="24395.279999999999"/>
    <n v="6702"/>
    <n v="17693.28"/>
    <n v="0.72527472527472525"/>
    <d v="2013-09-01T00:00:00"/>
    <n v="9"/>
    <x v="6"/>
    <x v="1"/>
  </r>
  <r>
    <s v="Midmarket"/>
    <x v="1"/>
    <x v="2"/>
    <s v="France"/>
    <x v="4"/>
    <s v="Medium"/>
    <n v="1227"/>
    <n v="250"/>
    <n v="15"/>
    <n v="18405"/>
    <n v="1656.45"/>
    <n v="16748.55"/>
    <n v="12270"/>
    <n v="4478.5499999999993"/>
    <n v="0.26739926739926739"/>
    <d v="2014-10-01T00:00:00"/>
    <n v="10"/>
    <x v="7"/>
    <x v="0"/>
  </r>
  <r>
    <s v="Enterprise"/>
    <x v="3"/>
    <x v="3"/>
    <s v="Mexico"/>
    <x v="4"/>
    <s v="Medium"/>
    <n v="877"/>
    <n v="250"/>
    <n v="125"/>
    <n v="109625"/>
    <n v="9866.25"/>
    <n v="99758.75"/>
    <n v="105240"/>
    <n v="-5481.25"/>
    <n v="-5.4945054945054944E-2"/>
    <d v="2014-11-01T00:00:00"/>
    <n v="11"/>
    <x v="9"/>
    <x v="0"/>
  </r>
  <r>
    <s v="Government"/>
    <x v="0"/>
    <x v="4"/>
    <s v="Usa"/>
    <x v="5"/>
    <s v="Medium"/>
    <n v="2071"/>
    <n v="260"/>
    <n v="350"/>
    <n v="724850"/>
    <n v="65236.5"/>
    <n v="659613.5"/>
    <n v="538460"/>
    <n v="121153.5"/>
    <n v="0.18367346938775511"/>
    <d v="2014-09-01T00:00:00"/>
    <n v="9"/>
    <x v="6"/>
    <x v="0"/>
  </r>
  <r>
    <s v="Government"/>
    <x v="0"/>
    <x v="0"/>
    <s v="Canada"/>
    <x v="5"/>
    <s v="Medium"/>
    <n v="1269"/>
    <n v="260"/>
    <n v="350"/>
    <n v="444150"/>
    <n v="39973.5"/>
    <n v="404176.5"/>
    <n v="329940"/>
    <n v="74236.5"/>
    <n v="0.18367346938775511"/>
    <d v="2014-10-01T00:00:00"/>
    <n v="10"/>
    <x v="7"/>
    <x v="0"/>
  </r>
  <r>
    <s v="Midmarket"/>
    <x v="1"/>
    <x v="1"/>
    <s v="Germany"/>
    <x v="5"/>
    <s v="Medium"/>
    <n v="970"/>
    <n v="260"/>
    <n v="15"/>
    <n v="14550"/>
    <n v="1309.5"/>
    <n v="13240.5"/>
    <n v="9700"/>
    <n v="3540.5"/>
    <n v="0.26739926739926739"/>
    <d v="2013-11-01T00:00:00"/>
    <n v="11"/>
    <x v="9"/>
    <x v="1"/>
  </r>
  <r>
    <s v="Government"/>
    <x v="0"/>
    <x v="3"/>
    <s v="Mexico"/>
    <x v="5"/>
    <s v="Medium"/>
    <n v="1694"/>
    <n v="260"/>
    <n v="20"/>
    <n v="33880"/>
    <n v="3049.2"/>
    <n v="30830.799999999999"/>
    <n v="16940"/>
    <n v="13890.8"/>
    <n v="0.45054945054945056"/>
    <d v="2014-11-01T00:00:00"/>
    <n v="11"/>
    <x v="9"/>
    <x v="0"/>
  </r>
  <r>
    <s v="Government"/>
    <x v="0"/>
    <x v="1"/>
    <s v="Germany"/>
    <x v="0"/>
    <s v="Medium"/>
    <n v="663"/>
    <n v="3"/>
    <n v="20"/>
    <n v="13260"/>
    <n v="1193.4000000000001"/>
    <n v="12066.6"/>
    <n v="6630"/>
    <n v="5436.6"/>
    <n v="0.45054945054945056"/>
    <d v="2014-05-01T00:00:00"/>
    <n v="5"/>
    <x v="11"/>
    <x v="0"/>
  </r>
  <r>
    <s v="Government"/>
    <x v="0"/>
    <x v="0"/>
    <s v="Canada"/>
    <x v="0"/>
    <s v="Medium"/>
    <n v="819"/>
    <n v="3"/>
    <n v="7"/>
    <n v="5733"/>
    <n v="515.97"/>
    <n v="5217.03"/>
    <n v="4095"/>
    <n v="1122.0299999999997"/>
    <n v="0.21507064364207218"/>
    <d v="2014-07-01T00:00:00"/>
    <n v="7"/>
    <x v="4"/>
    <x v="0"/>
  </r>
  <r>
    <s v="Channel Partners"/>
    <x v="2"/>
    <x v="1"/>
    <s v="Germany"/>
    <x v="0"/>
    <s v="Medium"/>
    <n v="1580"/>
    <n v="3"/>
    <n v="12"/>
    <n v="18960"/>
    <n v="1706.4"/>
    <n v="17253.599999999999"/>
    <n v="4740"/>
    <n v="12513.599999999999"/>
    <n v="0.72527472527472525"/>
    <d v="2014-09-01T00:00:00"/>
    <n v="9"/>
    <x v="6"/>
    <x v="0"/>
  </r>
  <r>
    <s v="Government"/>
    <x v="0"/>
    <x v="3"/>
    <s v="Mexico"/>
    <x v="0"/>
    <s v="Medium"/>
    <n v="521"/>
    <n v="3"/>
    <n v="7"/>
    <n v="3647"/>
    <n v="328.23"/>
    <n v="3318.77"/>
    <n v="2605"/>
    <n v="713.77"/>
    <n v="0.21507064364207221"/>
    <d v="2014-12-01T00:00:00"/>
    <n v="12"/>
    <x v="2"/>
    <x v="0"/>
  </r>
  <r>
    <s v="Government"/>
    <x v="0"/>
    <x v="4"/>
    <s v="Usa"/>
    <x v="2"/>
    <s v="Medium"/>
    <n v="973"/>
    <n v="10"/>
    <n v="20"/>
    <n v="19460"/>
    <n v="1751.4"/>
    <n v="17708.599999999999"/>
    <n v="9730"/>
    <n v="7978.5999999999985"/>
    <n v="0.4505494505494505"/>
    <d v="2014-03-01T00:00:00"/>
    <n v="3"/>
    <x v="3"/>
    <x v="0"/>
  </r>
  <r>
    <s v="Government"/>
    <x v="0"/>
    <x v="3"/>
    <s v="Mexico"/>
    <x v="2"/>
    <s v="Medium"/>
    <n v="1038"/>
    <n v="10"/>
    <n v="20"/>
    <n v="20760"/>
    <n v="1868.4"/>
    <n v="18891.599999999999"/>
    <n v="10380"/>
    <n v="8511.5999999999985"/>
    <n v="0.4505494505494505"/>
    <d v="2014-06-01T00:00:00"/>
    <n v="6"/>
    <x v="1"/>
    <x v="0"/>
  </r>
  <r>
    <s v="Government"/>
    <x v="0"/>
    <x v="1"/>
    <s v="Germany"/>
    <x v="2"/>
    <s v="Medium"/>
    <n v="360"/>
    <n v="10"/>
    <n v="7"/>
    <n v="2520"/>
    <n v="226.8"/>
    <n v="2293.1999999999998"/>
    <n v="1800"/>
    <n v="493.19999999999982"/>
    <n v="0.21507064364207215"/>
    <d v="2014-10-01T00:00:00"/>
    <n v="10"/>
    <x v="7"/>
    <x v="0"/>
  </r>
  <r>
    <s v="Channel Partners"/>
    <x v="2"/>
    <x v="2"/>
    <s v="France"/>
    <x v="3"/>
    <s v="Medium"/>
    <n v="1967"/>
    <n v="120"/>
    <n v="12"/>
    <n v="23604"/>
    <n v="2124.36"/>
    <n v="21479.64"/>
    <n v="5901"/>
    <n v="15578.64"/>
    <n v="0.72527472527472525"/>
    <d v="2014-03-01T00:00:00"/>
    <n v="3"/>
    <x v="3"/>
    <x v="0"/>
  </r>
  <r>
    <s v="Midmarket"/>
    <x v="1"/>
    <x v="3"/>
    <s v="Mexico"/>
    <x v="3"/>
    <s v="Medium"/>
    <n v="2628"/>
    <n v="120"/>
    <n v="15"/>
    <n v="39420"/>
    <n v="3547.8"/>
    <n v="35872.199999999997"/>
    <n v="26280"/>
    <n v="9592.1999999999971"/>
    <n v="0.26739926739926734"/>
    <d v="2014-04-01T00:00:00"/>
    <n v="4"/>
    <x v="10"/>
    <x v="0"/>
  </r>
  <r>
    <s v="Government"/>
    <x v="0"/>
    <x v="1"/>
    <s v="Germany"/>
    <x v="4"/>
    <s v="Medium"/>
    <n v="360"/>
    <n v="250"/>
    <n v="7"/>
    <n v="2520"/>
    <n v="226.8"/>
    <n v="2293.1999999999998"/>
    <n v="1800"/>
    <n v="493.19999999999982"/>
    <n v="0.21507064364207215"/>
    <d v="2014-10-01T00:00:00"/>
    <n v="10"/>
    <x v="7"/>
    <x v="0"/>
  </r>
  <r>
    <s v="Government"/>
    <x v="0"/>
    <x v="2"/>
    <s v="France"/>
    <x v="4"/>
    <s v="Medium"/>
    <n v="2682"/>
    <n v="250"/>
    <n v="20"/>
    <n v="53640"/>
    <n v="4827.6000000000004"/>
    <n v="48812.4"/>
    <n v="26820"/>
    <n v="21992.400000000001"/>
    <n v="0.45054945054945056"/>
    <d v="2013-11-01T00:00:00"/>
    <n v="11"/>
    <x v="9"/>
    <x v="1"/>
  </r>
  <r>
    <s v="Government"/>
    <x v="0"/>
    <x v="3"/>
    <s v="Mexico"/>
    <x v="4"/>
    <s v="Medium"/>
    <n v="521"/>
    <n v="250"/>
    <n v="7"/>
    <n v="3647"/>
    <n v="328.23"/>
    <n v="3318.77"/>
    <n v="2605"/>
    <n v="713.77"/>
    <n v="0.21507064364207221"/>
    <d v="2014-12-01T00:00:00"/>
    <n v="12"/>
    <x v="2"/>
    <x v="0"/>
  </r>
  <r>
    <s v="Government"/>
    <x v="0"/>
    <x v="3"/>
    <s v="Mexico"/>
    <x v="5"/>
    <s v="Medium"/>
    <n v="1038"/>
    <n v="260"/>
    <n v="20"/>
    <n v="20760"/>
    <n v="1868.4"/>
    <n v="18891.599999999999"/>
    <n v="10380"/>
    <n v="8511.5999999999985"/>
    <n v="0.4505494505494505"/>
    <d v="2014-06-01T00:00:00"/>
    <n v="6"/>
    <x v="1"/>
    <x v="0"/>
  </r>
  <r>
    <s v="Midmarket"/>
    <x v="1"/>
    <x v="0"/>
    <s v="Canada"/>
    <x v="5"/>
    <s v="Medium"/>
    <n v="1630.5"/>
    <n v="260"/>
    <n v="15"/>
    <n v="24457.5"/>
    <n v="2201.1750000000002"/>
    <n v="22256.325000000001"/>
    <n v="16305"/>
    <n v="5951.3250000000007"/>
    <n v="0.26739926739926745"/>
    <d v="2014-07-01T00:00:00"/>
    <n v="7"/>
    <x v="4"/>
    <x v="0"/>
  </r>
  <r>
    <s v="Channel Partners"/>
    <x v="2"/>
    <x v="2"/>
    <s v="France"/>
    <x v="5"/>
    <s v="Medium"/>
    <n v="306"/>
    <n v="260"/>
    <n v="12"/>
    <n v="3672"/>
    <n v="330.48"/>
    <n v="3341.52"/>
    <n v="918"/>
    <n v="2423.52"/>
    <n v="0.72527472527472525"/>
    <d v="2013-12-01T00:00:00"/>
    <n v="12"/>
    <x v="2"/>
    <x v="1"/>
  </r>
  <r>
    <s v="Channel Partners"/>
    <x v="2"/>
    <x v="4"/>
    <s v="Usa"/>
    <x v="0"/>
    <s v="High"/>
    <n v="386"/>
    <n v="3"/>
    <n v="12"/>
    <n v="4632"/>
    <n v="463.2"/>
    <n v="4168.8"/>
    <n v="1158"/>
    <n v="3010.8"/>
    <n v="0.72222222222222221"/>
    <d v="2013-10-01T00:00:00"/>
    <n v="10"/>
    <x v="7"/>
    <x v="1"/>
  </r>
  <r>
    <s v="Government"/>
    <x v="0"/>
    <x v="4"/>
    <s v="Usa"/>
    <x v="1"/>
    <s v="High"/>
    <n v="2328"/>
    <n v="5"/>
    <n v="7"/>
    <n v="16296"/>
    <n v="1629.6"/>
    <n v="14666.4"/>
    <n v="11640"/>
    <n v="3026.3999999999996"/>
    <n v="0.20634920634920634"/>
    <d v="2014-09-01T00:00:00"/>
    <n v="9"/>
    <x v="6"/>
    <x v="0"/>
  </r>
  <r>
    <s v="Channel Partners"/>
    <x v="2"/>
    <x v="4"/>
    <s v="Usa"/>
    <x v="2"/>
    <s v="High"/>
    <n v="386"/>
    <n v="10"/>
    <n v="12"/>
    <n v="4632"/>
    <n v="463.2"/>
    <n v="4168.8"/>
    <n v="1158"/>
    <n v="3010.8"/>
    <n v="0.72222222222222221"/>
    <d v="2013-10-01T00:00:00"/>
    <n v="10"/>
    <x v="7"/>
    <x v="1"/>
  </r>
  <r>
    <s v="Enterprise"/>
    <x v="3"/>
    <x v="4"/>
    <s v="Usa"/>
    <x v="0"/>
    <s v="High"/>
    <n v="3445.5"/>
    <n v="3"/>
    <n v="125"/>
    <n v="430687.5"/>
    <n v="43068.75"/>
    <n v="387618.75"/>
    <n v="413460"/>
    <n v="-25841.25"/>
    <n v="-6.6666666666666666E-2"/>
    <d v="2014-04-01T00:00:00"/>
    <n v="4"/>
    <x v="10"/>
    <x v="0"/>
  </r>
  <r>
    <s v="Enterprise"/>
    <x v="3"/>
    <x v="2"/>
    <s v="France"/>
    <x v="0"/>
    <s v="High"/>
    <n v="1482"/>
    <n v="3"/>
    <n v="125"/>
    <n v="185250"/>
    <n v="18525"/>
    <n v="166725"/>
    <n v="177840"/>
    <n v="-11115"/>
    <n v="-6.6666666666666666E-2"/>
    <d v="2013-12-01T00:00:00"/>
    <n v="12"/>
    <x v="2"/>
    <x v="1"/>
  </r>
  <r>
    <s v="Government"/>
    <x v="0"/>
    <x v="4"/>
    <s v="Usa"/>
    <x v="1"/>
    <s v="High"/>
    <n v="2313"/>
    <n v="5"/>
    <n v="350"/>
    <n v="809550"/>
    <n v="80955"/>
    <n v="728595"/>
    <n v="601380"/>
    <n v="127215"/>
    <n v="0.17460317460317459"/>
    <d v="2014-05-01T00:00:00"/>
    <n v="5"/>
    <x v="11"/>
    <x v="0"/>
  </r>
  <r>
    <s v="Enterprise"/>
    <x v="3"/>
    <x v="4"/>
    <s v="Usa"/>
    <x v="1"/>
    <s v="High"/>
    <n v="1804"/>
    <n v="5"/>
    <n v="125"/>
    <n v="225500"/>
    <n v="22550"/>
    <n v="202950"/>
    <n v="216480"/>
    <n v="-13530"/>
    <n v="-6.6666666666666666E-2"/>
    <d v="2013-11-01T00:00:00"/>
    <n v="11"/>
    <x v="9"/>
    <x v="1"/>
  </r>
  <r>
    <s v="Midmarket"/>
    <x v="1"/>
    <x v="2"/>
    <s v="France"/>
    <x v="1"/>
    <s v="High"/>
    <n v="2072"/>
    <n v="5"/>
    <n v="15"/>
    <n v="31080"/>
    <n v="3108"/>
    <n v="27972"/>
    <n v="20720"/>
    <n v="7252"/>
    <n v="0.25925925925925924"/>
    <d v="2014-12-01T00:00:00"/>
    <n v="12"/>
    <x v="2"/>
    <x v="0"/>
  </r>
  <r>
    <s v="Government"/>
    <x v="0"/>
    <x v="2"/>
    <s v="France"/>
    <x v="2"/>
    <s v="High"/>
    <n v="1954"/>
    <n v="10"/>
    <n v="20"/>
    <n v="39080"/>
    <n v="3908"/>
    <n v="35172"/>
    <n v="19540"/>
    <n v="15632"/>
    <n v="0.44444444444444442"/>
    <d v="2014-03-01T00:00:00"/>
    <n v="3"/>
    <x v="3"/>
    <x v="0"/>
  </r>
  <r>
    <s v="small business"/>
    <x v="4"/>
    <x v="3"/>
    <s v="Mexico"/>
    <x v="2"/>
    <s v="High"/>
    <n v="591"/>
    <n v="10"/>
    <n v="300"/>
    <n v="177300"/>
    <n v="17730"/>
    <n v="159570"/>
    <n v="147750"/>
    <n v="11820"/>
    <n v="7.407407407407407E-2"/>
    <d v="2014-05-01T00:00:00"/>
    <n v="5"/>
    <x v="11"/>
    <x v="0"/>
  </r>
  <r>
    <s v="Midmarket"/>
    <x v="1"/>
    <x v="2"/>
    <s v="France"/>
    <x v="2"/>
    <s v="High"/>
    <n v="2167"/>
    <n v="10"/>
    <n v="15"/>
    <n v="32505"/>
    <n v="3250.5"/>
    <n v="29254.5"/>
    <n v="21670"/>
    <n v="7584.5"/>
    <n v="0.25925925925925924"/>
    <d v="2013-10-01T00:00:00"/>
    <n v="10"/>
    <x v="7"/>
    <x v="1"/>
  </r>
  <r>
    <s v="Government"/>
    <x v="0"/>
    <x v="1"/>
    <s v="Germany"/>
    <x v="2"/>
    <s v="High"/>
    <n v="241"/>
    <n v="10"/>
    <n v="20"/>
    <n v="4820"/>
    <n v="482"/>
    <n v="4338"/>
    <n v="2410"/>
    <n v="1928"/>
    <n v="0.44444444444444442"/>
    <d v="2014-10-01T00:00:00"/>
    <n v="10"/>
    <x v="7"/>
    <x v="0"/>
  </r>
  <r>
    <s v="Midmarket"/>
    <x v="1"/>
    <x v="1"/>
    <s v="Germany"/>
    <x v="3"/>
    <s v="High"/>
    <n v="681"/>
    <n v="120"/>
    <n v="15"/>
    <n v="10215"/>
    <n v="1021.5"/>
    <n v="9193.5"/>
    <n v="6810"/>
    <n v="2383.5"/>
    <n v="0.25925925925925924"/>
    <d v="2014-01-01T00:00:00"/>
    <n v="1"/>
    <x v="0"/>
    <x v="0"/>
  </r>
  <r>
    <s v="Midmarket"/>
    <x v="1"/>
    <x v="1"/>
    <s v="Germany"/>
    <x v="3"/>
    <s v="High"/>
    <n v="510"/>
    <n v="120"/>
    <n v="15"/>
    <n v="7650"/>
    <n v="765"/>
    <n v="6885"/>
    <n v="5100"/>
    <n v="1785"/>
    <n v="0.25925925925925924"/>
    <d v="2014-04-01T00:00:00"/>
    <n v="4"/>
    <x v="10"/>
    <x v="0"/>
  </r>
  <r>
    <s v="Midmarket"/>
    <x v="1"/>
    <x v="4"/>
    <s v="Usa"/>
    <x v="3"/>
    <s v="High"/>
    <n v="790"/>
    <n v="120"/>
    <n v="15"/>
    <n v="11850"/>
    <n v="1185"/>
    <n v="10665"/>
    <n v="7900"/>
    <n v="2765"/>
    <n v="0.25925925925925924"/>
    <d v="2014-05-01T00:00:00"/>
    <n v="5"/>
    <x v="11"/>
    <x v="0"/>
  </r>
  <r>
    <s v="Government"/>
    <x v="0"/>
    <x v="2"/>
    <s v="France"/>
    <x v="3"/>
    <s v="High"/>
    <n v="639"/>
    <n v="120"/>
    <n v="350"/>
    <n v="223650"/>
    <n v="22365"/>
    <n v="201285"/>
    <n v="166140"/>
    <n v="35145"/>
    <n v="0.17460317460317459"/>
    <d v="2014-07-01T00:00:00"/>
    <n v="7"/>
    <x v="4"/>
    <x v="0"/>
  </r>
  <r>
    <s v="Enterprise"/>
    <x v="3"/>
    <x v="4"/>
    <s v="Usa"/>
    <x v="3"/>
    <s v="High"/>
    <n v="1596"/>
    <n v="120"/>
    <n v="125"/>
    <n v="199500"/>
    <n v="19950"/>
    <n v="179550"/>
    <n v="191520"/>
    <n v="-11970"/>
    <n v="-6.6666666666666666E-2"/>
    <d v="2014-09-01T00:00:00"/>
    <n v="9"/>
    <x v="6"/>
    <x v="0"/>
  </r>
  <r>
    <s v="small business"/>
    <x v="4"/>
    <x v="4"/>
    <s v="Usa"/>
    <x v="3"/>
    <s v="High"/>
    <n v="2294"/>
    <n v="120"/>
    <n v="300"/>
    <n v="688200"/>
    <n v="68820"/>
    <n v="619380"/>
    <n v="573500"/>
    <n v="45880"/>
    <n v="7.407407407407407E-2"/>
    <d v="2013-10-01T00:00:00"/>
    <n v="10"/>
    <x v="7"/>
    <x v="1"/>
  </r>
  <r>
    <s v="Government"/>
    <x v="0"/>
    <x v="1"/>
    <s v="Germany"/>
    <x v="3"/>
    <s v="High"/>
    <n v="241"/>
    <n v="120"/>
    <n v="20"/>
    <n v="4820"/>
    <n v="482"/>
    <n v="4338"/>
    <n v="2410"/>
    <n v="1928"/>
    <n v="0.44444444444444442"/>
    <d v="2014-10-01T00:00:00"/>
    <n v="10"/>
    <x v="7"/>
    <x v="0"/>
  </r>
  <r>
    <s v="Government"/>
    <x v="0"/>
    <x v="1"/>
    <s v="Germany"/>
    <x v="3"/>
    <s v="High"/>
    <n v="2665"/>
    <n v="120"/>
    <n v="7"/>
    <n v="18655"/>
    <n v="1865.5"/>
    <n v="16789.5"/>
    <n v="13325"/>
    <n v="3464.5"/>
    <n v="0.20634920634920634"/>
    <d v="2014-11-01T00:00:00"/>
    <n v="11"/>
    <x v="9"/>
    <x v="0"/>
  </r>
  <r>
    <s v="Enterprise"/>
    <x v="3"/>
    <x v="0"/>
    <s v="Canada"/>
    <x v="3"/>
    <s v="High"/>
    <n v="1916"/>
    <n v="120"/>
    <n v="125"/>
    <n v="239500"/>
    <n v="23950"/>
    <n v="215550"/>
    <n v="229920"/>
    <n v="-14370"/>
    <n v="-6.6666666666666666E-2"/>
    <d v="2013-12-01T00:00:00"/>
    <n v="12"/>
    <x v="2"/>
    <x v="1"/>
  </r>
  <r>
    <s v="small business"/>
    <x v="4"/>
    <x v="2"/>
    <s v="France"/>
    <x v="3"/>
    <s v="High"/>
    <n v="853"/>
    <n v="120"/>
    <n v="300"/>
    <n v="255900"/>
    <n v="25590"/>
    <n v="230310"/>
    <n v="213250"/>
    <n v="17060"/>
    <n v="7.407407407407407E-2"/>
    <d v="2014-12-01T00:00:00"/>
    <n v="12"/>
    <x v="2"/>
    <x v="0"/>
  </r>
  <r>
    <s v="Enterprise"/>
    <x v="3"/>
    <x v="3"/>
    <s v="Mexico"/>
    <x v="4"/>
    <s v="High"/>
    <n v="341"/>
    <n v="250"/>
    <n v="125"/>
    <n v="42625"/>
    <n v="4262.5"/>
    <n v="38362.5"/>
    <n v="40920"/>
    <n v="-2557.5"/>
    <n v="-6.6666666666666666E-2"/>
    <d v="2014-05-01T00:00:00"/>
    <n v="5"/>
    <x v="11"/>
    <x v="0"/>
  </r>
  <r>
    <s v="Midmarket"/>
    <x v="1"/>
    <x v="3"/>
    <s v="Mexico"/>
    <x v="4"/>
    <s v="High"/>
    <n v="641"/>
    <n v="250"/>
    <n v="15"/>
    <n v="9615"/>
    <n v="961.5"/>
    <n v="8653.5"/>
    <n v="6410"/>
    <n v="2243.5"/>
    <n v="0.25925925925925924"/>
    <d v="2014-07-01T00:00:00"/>
    <n v="7"/>
    <x v="4"/>
    <x v="0"/>
  </r>
  <r>
    <s v="Government"/>
    <x v="0"/>
    <x v="4"/>
    <s v="Usa"/>
    <x v="4"/>
    <s v="High"/>
    <n v="2807"/>
    <n v="250"/>
    <n v="350"/>
    <n v="982450"/>
    <n v="98245"/>
    <n v="884205"/>
    <n v="729820"/>
    <n v="154385"/>
    <n v="0.17460317460317459"/>
    <d v="2014-08-01T00:00:00"/>
    <n v="8"/>
    <x v="5"/>
    <x v="0"/>
  </r>
  <r>
    <s v="small business"/>
    <x v="4"/>
    <x v="3"/>
    <s v="Mexico"/>
    <x v="4"/>
    <s v="High"/>
    <n v="432"/>
    <n v="250"/>
    <n v="300"/>
    <n v="129600"/>
    <n v="12960"/>
    <n v="116640"/>
    <n v="108000"/>
    <n v="8640"/>
    <n v="7.407407407407407E-2"/>
    <d v="2014-09-01T00:00:00"/>
    <n v="9"/>
    <x v="6"/>
    <x v="0"/>
  </r>
  <r>
    <s v="small business"/>
    <x v="4"/>
    <x v="4"/>
    <s v="Usa"/>
    <x v="4"/>
    <s v="High"/>
    <n v="2294"/>
    <n v="250"/>
    <n v="300"/>
    <n v="688200"/>
    <n v="68820"/>
    <n v="619380"/>
    <n v="573500"/>
    <n v="45880"/>
    <n v="7.407407407407407E-2"/>
    <d v="2013-10-01T00:00:00"/>
    <n v="10"/>
    <x v="7"/>
    <x v="1"/>
  </r>
  <r>
    <s v="Midmarket"/>
    <x v="1"/>
    <x v="2"/>
    <s v="France"/>
    <x v="4"/>
    <s v="High"/>
    <n v="2167"/>
    <n v="250"/>
    <n v="15"/>
    <n v="32505"/>
    <n v="3250.5"/>
    <n v="29254.5"/>
    <n v="21670"/>
    <n v="7584.5"/>
    <n v="0.25925925925925924"/>
    <d v="2013-10-01T00:00:00"/>
    <n v="10"/>
    <x v="7"/>
    <x v="1"/>
  </r>
  <r>
    <s v="Enterprise"/>
    <x v="3"/>
    <x v="0"/>
    <s v="Canada"/>
    <x v="4"/>
    <s v="High"/>
    <n v="2529"/>
    <n v="250"/>
    <n v="125"/>
    <n v="316125"/>
    <n v="31612.5"/>
    <n v="284512.5"/>
    <n v="303480"/>
    <n v="-18967.5"/>
    <n v="-6.6666666666666666E-2"/>
    <d v="2014-11-01T00:00:00"/>
    <n v="11"/>
    <x v="9"/>
    <x v="0"/>
  </r>
  <r>
    <s v="Government"/>
    <x v="0"/>
    <x v="1"/>
    <s v="Germany"/>
    <x v="4"/>
    <s v="High"/>
    <n v="1870"/>
    <n v="250"/>
    <n v="350"/>
    <n v="654500"/>
    <n v="65450"/>
    <n v="589050"/>
    <n v="486200"/>
    <n v="102850"/>
    <n v="0.17460317460317459"/>
    <d v="2013-12-01T00:00:00"/>
    <n v="12"/>
    <x v="2"/>
    <x v="1"/>
  </r>
  <r>
    <s v="Enterprise"/>
    <x v="3"/>
    <x v="4"/>
    <s v="Usa"/>
    <x v="5"/>
    <s v="High"/>
    <n v="579"/>
    <n v="260"/>
    <n v="125"/>
    <n v="72375"/>
    <n v="7237.5"/>
    <n v="65137.5"/>
    <n v="69480"/>
    <n v="-4342.5"/>
    <n v="-6.6666666666666666E-2"/>
    <d v="2014-01-01T00:00:00"/>
    <n v="1"/>
    <x v="0"/>
    <x v="0"/>
  </r>
  <r>
    <s v="Government"/>
    <x v="0"/>
    <x v="0"/>
    <s v="Canada"/>
    <x v="5"/>
    <s v="High"/>
    <n v="2240"/>
    <n v="260"/>
    <n v="350"/>
    <n v="784000"/>
    <n v="78400"/>
    <n v="705600"/>
    <n v="582400"/>
    <n v="123200"/>
    <n v="0.17460317460317459"/>
    <d v="2014-02-01T00:00:00"/>
    <n v="2"/>
    <x v="8"/>
    <x v="0"/>
  </r>
  <r>
    <s v="small business"/>
    <x v="4"/>
    <x v="4"/>
    <s v="Usa"/>
    <x v="5"/>
    <s v="High"/>
    <n v="2993"/>
    <n v="260"/>
    <n v="300"/>
    <n v="897900"/>
    <n v="89790"/>
    <n v="808110"/>
    <n v="748250"/>
    <n v="59860"/>
    <n v="7.407407407407407E-2"/>
    <d v="2014-03-01T00:00:00"/>
    <n v="3"/>
    <x v="3"/>
    <x v="0"/>
  </r>
  <r>
    <s v="Channel Partners"/>
    <x v="2"/>
    <x v="0"/>
    <s v="Canada"/>
    <x v="5"/>
    <s v="High"/>
    <n v="3520.5"/>
    <n v="260"/>
    <n v="12"/>
    <n v="42246"/>
    <n v="4224.6000000000004"/>
    <n v="38021.4"/>
    <n v="10561.5"/>
    <n v="27459.9"/>
    <n v="0.72222222222222221"/>
    <d v="2014-04-01T00:00:00"/>
    <n v="4"/>
    <x v="10"/>
    <x v="0"/>
  </r>
  <r>
    <s v="Government"/>
    <x v="0"/>
    <x v="3"/>
    <s v="Mexico"/>
    <x v="5"/>
    <s v="High"/>
    <n v="2039"/>
    <n v="260"/>
    <n v="20"/>
    <n v="40780"/>
    <n v="4078"/>
    <n v="36702"/>
    <n v="20390"/>
    <n v="16312"/>
    <n v="0.44444444444444442"/>
    <d v="2014-05-01T00:00:00"/>
    <n v="5"/>
    <x v="11"/>
    <x v="0"/>
  </r>
  <r>
    <s v="Channel Partners"/>
    <x v="2"/>
    <x v="1"/>
    <s v="Germany"/>
    <x v="5"/>
    <s v="High"/>
    <n v="2574"/>
    <n v="260"/>
    <n v="12"/>
    <n v="30888"/>
    <n v="3088.8"/>
    <n v="27799.200000000001"/>
    <n v="7722"/>
    <n v="20077.2"/>
    <n v="0.72222222222222221"/>
    <d v="2014-08-01T00:00:00"/>
    <n v="8"/>
    <x v="5"/>
    <x v="0"/>
  </r>
  <r>
    <s v="Government"/>
    <x v="0"/>
    <x v="0"/>
    <s v="Canada"/>
    <x v="5"/>
    <s v="High"/>
    <n v="707"/>
    <n v="260"/>
    <n v="350"/>
    <n v="247450"/>
    <n v="24745"/>
    <n v="222705"/>
    <n v="183820"/>
    <n v="38885"/>
    <n v="0.17460317460317459"/>
    <d v="2014-09-01T00:00:00"/>
    <n v="9"/>
    <x v="6"/>
    <x v="0"/>
  </r>
  <r>
    <s v="Midmarket"/>
    <x v="1"/>
    <x v="2"/>
    <s v="France"/>
    <x v="5"/>
    <s v="High"/>
    <n v="2072"/>
    <n v="260"/>
    <n v="15"/>
    <n v="31080"/>
    <n v="3108"/>
    <n v="27972"/>
    <n v="20720"/>
    <n v="7252"/>
    <n v="0.25925925925925924"/>
    <d v="2014-12-01T00:00:00"/>
    <n v="12"/>
    <x v="2"/>
    <x v="0"/>
  </r>
  <r>
    <s v="small business"/>
    <x v="4"/>
    <x v="2"/>
    <s v="France"/>
    <x v="5"/>
    <s v="High"/>
    <n v="853"/>
    <n v="260"/>
    <n v="300"/>
    <n v="255900"/>
    <n v="25590"/>
    <n v="230310"/>
    <n v="213250"/>
    <n v="17060"/>
    <n v="7.407407407407407E-2"/>
    <d v="2014-12-01T00:00:00"/>
    <n v="12"/>
    <x v="2"/>
    <x v="0"/>
  </r>
  <r>
    <s v="Channel Partners"/>
    <x v="2"/>
    <x v="2"/>
    <s v="France"/>
    <x v="0"/>
    <s v="High"/>
    <n v="1198"/>
    <n v="3"/>
    <n v="12"/>
    <n v="14376"/>
    <n v="1581.36"/>
    <n v="12794.64"/>
    <n v="3594"/>
    <n v="9200.64"/>
    <n v="0.7191011235955056"/>
    <d v="2013-10-01T00:00:00"/>
    <n v="10"/>
    <x v="7"/>
    <x v="1"/>
  </r>
  <r>
    <s v="Government"/>
    <x v="0"/>
    <x v="2"/>
    <s v="France"/>
    <x v="2"/>
    <s v="High"/>
    <n v="2532"/>
    <n v="10"/>
    <n v="7"/>
    <n v="17724"/>
    <n v="1949.6399999999999"/>
    <n v="15774.36"/>
    <n v="12660"/>
    <n v="3114.3600000000006"/>
    <n v="0.19743178170144465"/>
    <d v="2014-04-01T00:00:00"/>
    <n v="4"/>
    <x v="10"/>
    <x v="0"/>
  </r>
  <r>
    <s v="Channel Partners"/>
    <x v="2"/>
    <x v="2"/>
    <s v="France"/>
    <x v="2"/>
    <s v="High"/>
    <n v="1198"/>
    <n v="10"/>
    <n v="12"/>
    <n v="14376"/>
    <n v="1581.36"/>
    <n v="12794.64"/>
    <n v="3594"/>
    <n v="9200.64"/>
    <n v="0.7191011235955056"/>
    <d v="2013-10-01T00:00:00"/>
    <n v="10"/>
    <x v="7"/>
    <x v="1"/>
  </r>
  <r>
    <s v="Midmarket"/>
    <x v="1"/>
    <x v="0"/>
    <s v="Canada"/>
    <x v="3"/>
    <s v="High"/>
    <n v="384"/>
    <n v="120"/>
    <n v="15"/>
    <n v="5760"/>
    <n v="633.59999999999991"/>
    <n v="5126.3999999999996"/>
    <n v="3840"/>
    <n v="1286.3999999999996"/>
    <n v="0.25093632958801493"/>
    <d v="2014-01-01T00:00:00"/>
    <n v="1"/>
    <x v="0"/>
    <x v="0"/>
  </r>
  <r>
    <s v="Channel Partners"/>
    <x v="2"/>
    <x v="1"/>
    <s v="Germany"/>
    <x v="3"/>
    <s v="High"/>
    <n v="472"/>
    <n v="120"/>
    <n v="12"/>
    <n v="5664"/>
    <n v="623.04"/>
    <n v="5040.96"/>
    <n v="1416"/>
    <n v="3624.96"/>
    <n v="0.7191011235955056"/>
    <d v="2014-10-01T00:00:00"/>
    <n v="10"/>
    <x v="7"/>
    <x v="0"/>
  </r>
  <r>
    <s v="Government"/>
    <x v="0"/>
    <x v="4"/>
    <s v="Usa"/>
    <x v="4"/>
    <s v="High"/>
    <n v="1579"/>
    <n v="250"/>
    <n v="7"/>
    <n v="11053"/>
    <n v="1215.83"/>
    <n v="9837.17"/>
    <n v="7895"/>
    <n v="1942.17"/>
    <n v="0.19743178170144463"/>
    <d v="2014-03-01T00:00:00"/>
    <n v="3"/>
    <x v="3"/>
    <x v="0"/>
  </r>
  <r>
    <s v="Channel Partners"/>
    <x v="2"/>
    <x v="3"/>
    <s v="Mexico"/>
    <x v="4"/>
    <s v="High"/>
    <n v="1005"/>
    <n v="250"/>
    <n v="12"/>
    <n v="12060"/>
    <n v="1326.6"/>
    <n v="10733.4"/>
    <n v="3015"/>
    <n v="7718.4"/>
    <n v="0.7191011235955056"/>
    <d v="2013-09-01T00:00:00"/>
    <n v="9"/>
    <x v="6"/>
    <x v="1"/>
  </r>
  <r>
    <s v="Midmarket"/>
    <x v="1"/>
    <x v="4"/>
    <s v="Usa"/>
    <x v="5"/>
    <s v="High"/>
    <n v="3199.5"/>
    <n v="260"/>
    <n v="15"/>
    <n v="47992.5"/>
    <n v="5279.1749999999993"/>
    <n v="42713.324999999997"/>
    <n v="31995"/>
    <n v="10718.324999999997"/>
    <n v="0.25093632958801493"/>
    <d v="2014-07-01T00:00:00"/>
    <n v="7"/>
    <x v="4"/>
    <x v="0"/>
  </r>
  <r>
    <s v="Channel Partners"/>
    <x v="2"/>
    <x v="1"/>
    <s v="Germany"/>
    <x v="5"/>
    <s v="High"/>
    <n v="472"/>
    <n v="260"/>
    <n v="12"/>
    <n v="5664"/>
    <n v="623.04"/>
    <n v="5040.96"/>
    <n v="1416"/>
    <n v="3624.96"/>
    <n v="0.7191011235955056"/>
    <d v="2014-10-01T00:00:00"/>
    <n v="10"/>
    <x v="7"/>
    <x v="0"/>
  </r>
  <r>
    <s v="Channel Partners"/>
    <x v="2"/>
    <x v="0"/>
    <s v="Canada"/>
    <x v="0"/>
    <s v="High"/>
    <n v="1937"/>
    <n v="3"/>
    <n v="12"/>
    <n v="23244"/>
    <n v="2556.84"/>
    <n v="20687.16"/>
    <n v="5811"/>
    <n v="14876.16"/>
    <n v="0.7191011235955056"/>
    <d v="2014-02-01T00:00:00"/>
    <n v="2"/>
    <x v="8"/>
    <x v="0"/>
  </r>
  <r>
    <s v="Government"/>
    <x v="0"/>
    <x v="1"/>
    <s v="Germany"/>
    <x v="0"/>
    <s v="High"/>
    <n v="792"/>
    <n v="3"/>
    <n v="350"/>
    <n v="277200"/>
    <n v="30492"/>
    <n v="246708"/>
    <n v="205920"/>
    <n v="40788"/>
    <n v="0.1653290529695024"/>
    <d v="2014-03-01T00:00:00"/>
    <n v="3"/>
    <x v="3"/>
    <x v="0"/>
  </r>
  <r>
    <s v="small business"/>
    <x v="4"/>
    <x v="1"/>
    <s v="Germany"/>
    <x v="0"/>
    <s v="High"/>
    <n v="2811"/>
    <n v="3"/>
    <n v="300"/>
    <n v="843300"/>
    <n v="92763"/>
    <n v="750537"/>
    <n v="702750"/>
    <n v="47787"/>
    <n v="6.3670411985018729E-2"/>
    <d v="2014-07-01T00:00:00"/>
    <n v="7"/>
    <x v="4"/>
    <x v="0"/>
  </r>
  <r>
    <s v="Enterprise"/>
    <x v="3"/>
    <x v="2"/>
    <s v="France"/>
    <x v="0"/>
    <s v="High"/>
    <n v="2441"/>
    <n v="3"/>
    <n v="125"/>
    <n v="305125"/>
    <n v="33563.75"/>
    <n v="271561.25"/>
    <n v="292920"/>
    <n v="-21358.75"/>
    <n v="-7.8651685393258425E-2"/>
    <d v="2014-10-01T00:00:00"/>
    <n v="10"/>
    <x v="7"/>
    <x v="0"/>
  </r>
  <r>
    <s v="Midmarket"/>
    <x v="1"/>
    <x v="0"/>
    <s v="Canada"/>
    <x v="0"/>
    <s v="High"/>
    <n v="1560"/>
    <n v="3"/>
    <n v="15"/>
    <n v="23400"/>
    <n v="2574"/>
    <n v="20826"/>
    <n v="15600"/>
    <n v="5226"/>
    <n v="0.25093632958801498"/>
    <d v="2013-11-01T00:00:00"/>
    <n v="11"/>
    <x v="9"/>
    <x v="1"/>
  </r>
  <r>
    <s v="Government"/>
    <x v="0"/>
    <x v="3"/>
    <s v="Mexico"/>
    <x v="0"/>
    <s v="High"/>
    <n v="2706"/>
    <n v="3"/>
    <n v="7"/>
    <n v="18942"/>
    <n v="2083.62"/>
    <n v="16858.38"/>
    <n v="13530"/>
    <n v="3328.380000000001"/>
    <n v="0.19743178170144468"/>
    <d v="2013-11-01T00:00:00"/>
    <n v="11"/>
    <x v="9"/>
    <x v="1"/>
  </r>
  <r>
    <s v="Government"/>
    <x v="0"/>
    <x v="1"/>
    <s v="Germany"/>
    <x v="1"/>
    <s v="High"/>
    <n v="766"/>
    <n v="5"/>
    <n v="350"/>
    <n v="268100"/>
    <n v="29491"/>
    <n v="238609"/>
    <n v="199160"/>
    <n v="39449"/>
    <n v="0.1653290529695024"/>
    <d v="2014-01-01T00:00:00"/>
    <n v="1"/>
    <x v="0"/>
    <x v="0"/>
  </r>
  <r>
    <s v="Government"/>
    <x v="0"/>
    <x v="1"/>
    <s v="Germany"/>
    <x v="1"/>
    <s v="High"/>
    <n v="2992"/>
    <n v="5"/>
    <n v="20"/>
    <n v="59840"/>
    <n v="6582.4"/>
    <n v="53257.599999999999"/>
    <n v="29920"/>
    <n v="23337.599999999999"/>
    <n v="0.4382022471910112"/>
    <d v="2013-10-01T00:00:00"/>
    <n v="10"/>
    <x v="7"/>
    <x v="1"/>
  </r>
  <r>
    <s v="Midmarket"/>
    <x v="1"/>
    <x v="3"/>
    <s v="Mexico"/>
    <x v="1"/>
    <s v="High"/>
    <n v="2157"/>
    <n v="5"/>
    <n v="15"/>
    <n v="32355"/>
    <n v="3559.05"/>
    <n v="28795.95"/>
    <n v="21570"/>
    <n v="7225.9500000000007"/>
    <n v="0.25093632958801498"/>
    <d v="2014-12-01T00:00:00"/>
    <n v="12"/>
    <x v="2"/>
    <x v="0"/>
  </r>
  <r>
    <s v="small business"/>
    <x v="4"/>
    <x v="0"/>
    <s v="Canada"/>
    <x v="2"/>
    <s v="High"/>
    <n v="873"/>
    <n v="10"/>
    <n v="300"/>
    <n v="261900"/>
    <n v="28809"/>
    <n v="233091"/>
    <n v="218250"/>
    <n v="14841"/>
    <n v="6.3670411985018729E-2"/>
    <d v="2014-01-01T00:00:00"/>
    <n v="1"/>
    <x v="0"/>
    <x v="0"/>
  </r>
  <r>
    <s v="Government"/>
    <x v="0"/>
    <x v="3"/>
    <s v="Mexico"/>
    <x v="2"/>
    <s v="High"/>
    <n v="1122"/>
    <n v="10"/>
    <n v="20"/>
    <n v="22440"/>
    <n v="2468.4"/>
    <n v="19971.599999999999"/>
    <n v="11220"/>
    <n v="8751.5999999999985"/>
    <n v="0.4382022471910112"/>
    <d v="2014-03-01T00:00:00"/>
    <n v="3"/>
    <x v="3"/>
    <x v="0"/>
  </r>
  <r>
    <s v="Government"/>
    <x v="0"/>
    <x v="0"/>
    <s v="Canada"/>
    <x v="2"/>
    <s v="High"/>
    <n v="2104.5"/>
    <n v="10"/>
    <n v="350"/>
    <n v="736575"/>
    <n v="81023.25"/>
    <n v="655551.75"/>
    <n v="547170"/>
    <n v="108381.75"/>
    <n v="0.1653290529695024"/>
    <d v="2014-07-01T00:00:00"/>
    <n v="7"/>
    <x v="4"/>
    <x v="0"/>
  </r>
  <r>
    <s v="Channel Partners"/>
    <x v="2"/>
    <x v="0"/>
    <s v="Canada"/>
    <x v="2"/>
    <s v="High"/>
    <n v="4026"/>
    <n v="10"/>
    <n v="12"/>
    <n v="48312"/>
    <n v="5314.32"/>
    <n v="42997.68"/>
    <n v="12078"/>
    <n v="30919.68"/>
    <n v="0.7191011235955056"/>
    <d v="2014-07-01T00:00:00"/>
    <n v="7"/>
    <x v="4"/>
    <x v="0"/>
  </r>
  <r>
    <s v="Channel Partners"/>
    <x v="2"/>
    <x v="2"/>
    <s v="France"/>
    <x v="2"/>
    <s v="High"/>
    <n v="2425.5"/>
    <n v="10"/>
    <n v="12"/>
    <n v="29106"/>
    <n v="3201.66"/>
    <n v="25904.34"/>
    <n v="7276.5"/>
    <n v="18627.84"/>
    <n v="0.7191011235955056"/>
    <d v="2014-07-01T00:00:00"/>
    <n v="7"/>
    <x v="4"/>
    <x v="0"/>
  </r>
  <r>
    <s v="Government"/>
    <x v="0"/>
    <x v="0"/>
    <s v="Canada"/>
    <x v="2"/>
    <s v="High"/>
    <n v="2394"/>
    <n v="10"/>
    <n v="20"/>
    <n v="47880"/>
    <n v="5266.8"/>
    <n v="42613.2"/>
    <n v="23940"/>
    <n v="18673.199999999997"/>
    <n v="0.4382022471910112"/>
    <d v="2014-08-01T00:00:00"/>
    <n v="8"/>
    <x v="5"/>
    <x v="0"/>
  </r>
  <r>
    <s v="Midmarket"/>
    <x v="1"/>
    <x v="3"/>
    <s v="Mexico"/>
    <x v="2"/>
    <s v="High"/>
    <n v="1984"/>
    <n v="10"/>
    <n v="15"/>
    <n v="29760"/>
    <n v="3273.6"/>
    <n v="26486.400000000001"/>
    <n v="19840"/>
    <n v="6646.4000000000015"/>
    <n v="0.25093632958801504"/>
    <d v="2014-08-01T00:00:00"/>
    <n v="8"/>
    <x v="5"/>
    <x v="0"/>
  </r>
  <r>
    <s v="Enterprise"/>
    <x v="3"/>
    <x v="2"/>
    <s v="France"/>
    <x v="2"/>
    <s v="High"/>
    <n v="2441"/>
    <n v="10"/>
    <n v="125"/>
    <n v="305125"/>
    <n v="33563.75"/>
    <n v="271561.25"/>
    <n v="292920"/>
    <n v="-21358.75"/>
    <n v="-7.8651685393258425E-2"/>
    <d v="2014-10-01T00:00:00"/>
    <n v="10"/>
    <x v="7"/>
    <x v="0"/>
  </r>
  <r>
    <s v="Government"/>
    <x v="0"/>
    <x v="1"/>
    <s v="Germany"/>
    <x v="2"/>
    <s v="High"/>
    <n v="2992"/>
    <n v="10"/>
    <n v="20"/>
    <n v="59840"/>
    <n v="6582.4"/>
    <n v="53257.599999999999"/>
    <n v="29920"/>
    <n v="23337.599999999999"/>
    <n v="0.4382022471910112"/>
    <d v="2013-10-01T00:00:00"/>
    <n v="10"/>
    <x v="7"/>
    <x v="1"/>
  </r>
  <r>
    <s v="small business"/>
    <x v="4"/>
    <x v="0"/>
    <s v="Canada"/>
    <x v="2"/>
    <s v="High"/>
    <n v="1366"/>
    <n v="10"/>
    <n v="300"/>
    <n v="409800"/>
    <n v="45078"/>
    <n v="364722"/>
    <n v="341500"/>
    <n v="23222"/>
    <n v="6.3670411985018729E-2"/>
    <d v="2014-11-01T00:00:00"/>
    <n v="11"/>
    <x v="9"/>
    <x v="0"/>
  </r>
  <r>
    <s v="Government"/>
    <x v="0"/>
    <x v="2"/>
    <s v="France"/>
    <x v="3"/>
    <s v="High"/>
    <n v="2805"/>
    <n v="120"/>
    <n v="20"/>
    <n v="56100"/>
    <n v="6171"/>
    <n v="49929"/>
    <n v="28050"/>
    <n v="21879"/>
    <n v="0.43820224719101125"/>
    <d v="2013-09-01T00:00:00"/>
    <n v="9"/>
    <x v="6"/>
    <x v="1"/>
  </r>
  <r>
    <s v="Midmarket"/>
    <x v="1"/>
    <x v="3"/>
    <s v="Mexico"/>
    <x v="3"/>
    <s v="High"/>
    <n v="655"/>
    <n v="120"/>
    <n v="15"/>
    <n v="9825"/>
    <n v="1080.75"/>
    <n v="8744.25"/>
    <n v="6550"/>
    <n v="2194.25"/>
    <n v="0.25093632958801498"/>
    <d v="2013-09-01T00:00:00"/>
    <n v="9"/>
    <x v="6"/>
    <x v="1"/>
  </r>
  <r>
    <s v="Government"/>
    <x v="0"/>
    <x v="3"/>
    <s v="Mexico"/>
    <x v="3"/>
    <s v="High"/>
    <n v="344"/>
    <n v="120"/>
    <n v="350"/>
    <n v="120400"/>
    <n v="13244"/>
    <n v="107156"/>
    <n v="89440"/>
    <n v="17716"/>
    <n v="0.1653290529695024"/>
    <d v="2013-10-01T00:00:00"/>
    <n v="10"/>
    <x v="7"/>
    <x v="1"/>
  </r>
  <r>
    <s v="Government"/>
    <x v="0"/>
    <x v="0"/>
    <s v="Canada"/>
    <x v="3"/>
    <s v="High"/>
    <n v="1808"/>
    <n v="120"/>
    <n v="7"/>
    <n v="12656"/>
    <n v="1392.16"/>
    <n v="11263.84"/>
    <n v="9040"/>
    <n v="2223.84"/>
    <n v="0.19743178170144463"/>
    <d v="2014-11-01T00:00:00"/>
    <n v="11"/>
    <x v="9"/>
    <x v="0"/>
  </r>
  <r>
    <s v="Channel Partners"/>
    <x v="2"/>
    <x v="2"/>
    <s v="France"/>
    <x v="4"/>
    <s v="High"/>
    <n v="1734"/>
    <n v="250"/>
    <n v="12"/>
    <n v="20808"/>
    <n v="2288.88"/>
    <n v="18519.12"/>
    <n v="5202"/>
    <n v="13317.119999999999"/>
    <n v="0.7191011235955056"/>
    <d v="2014-01-01T00:00:00"/>
    <n v="1"/>
    <x v="0"/>
    <x v="0"/>
  </r>
  <r>
    <s v="Enterprise"/>
    <x v="3"/>
    <x v="3"/>
    <s v="Mexico"/>
    <x v="4"/>
    <s v="High"/>
    <n v="554"/>
    <n v="250"/>
    <n v="125"/>
    <n v="69250"/>
    <n v="7617.5"/>
    <n v="61632.5"/>
    <n v="66480"/>
    <n v="-4847.5"/>
    <n v="-7.8651685393258425E-2"/>
    <d v="2014-01-01T00:00:00"/>
    <n v="1"/>
    <x v="0"/>
    <x v="0"/>
  </r>
  <r>
    <s v="Government"/>
    <x v="0"/>
    <x v="0"/>
    <s v="Canada"/>
    <x v="4"/>
    <s v="High"/>
    <n v="2935"/>
    <n v="250"/>
    <n v="20"/>
    <n v="58700"/>
    <n v="6457"/>
    <n v="52243"/>
    <n v="29350"/>
    <n v="22893"/>
    <n v="0.43820224719101125"/>
    <d v="2013-11-01T00:00:00"/>
    <n v="11"/>
    <x v="9"/>
    <x v="1"/>
  </r>
  <r>
    <s v="Enterprise"/>
    <x v="3"/>
    <x v="1"/>
    <s v="Germany"/>
    <x v="5"/>
    <s v="High"/>
    <n v="3165"/>
    <n v="260"/>
    <n v="125"/>
    <n v="395625"/>
    <n v="43518.75"/>
    <n v="352106.25"/>
    <n v="379800"/>
    <n v="-27693.75"/>
    <n v="-7.8651685393258425E-2"/>
    <d v="2014-01-01T00:00:00"/>
    <n v="1"/>
    <x v="0"/>
    <x v="0"/>
  </r>
  <r>
    <s v="Government"/>
    <x v="0"/>
    <x v="3"/>
    <s v="Mexico"/>
    <x v="5"/>
    <s v="High"/>
    <n v="2629"/>
    <n v="260"/>
    <n v="20"/>
    <n v="52580"/>
    <n v="5783.8"/>
    <n v="46796.2"/>
    <n v="26290"/>
    <n v="20506.199999999997"/>
    <n v="0.4382022471910112"/>
    <d v="2014-01-01T00:00:00"/>
    <n v="1"/>
    <x v="0"/>
    <x v="0"/>
  </r>
  <r>
    <s v="Enterprise"/>
    <x v="3"/>
    <x v="2"/>
    <s v="France"/>
    <x v="5"/>
    <s v="High"/>
    <n v="1433"/>
    <n v="260"/>
    <n v="125"/>
    <n v="179125"/>
    <n v="19703.75"/>
    <n v="159421.25"/>
    <n v="171960"/>
    <n v="-12538.75"/>
    <n v="-7.8651685393258425E-2"/>
    <d v="2014-05-01T00:00:00"/>
    <n v="5"/>
    <x v="11"/>
    <x v="0"/>
  </r>
  <r>
    <s v="Enterprise"/>
    <x v="3"/>
    <x v="3"/>
    <s v="Mexico"/>
    <x v="5"/>
    <s v="High"/>
    <n v="947"/>
    <n v="260"/>
    <n v="125"/>
    <n v="118375"/>
    <n v="13021.25"/>
    <n v="105353.75"/>
    <n v="113640"/>
    <n v="-8286.25"/>
    <n v="-7.8651685393258425E-2"/>
    <d v="2013-09-01T00:00:00"/>
    <n v="9"/>
    <x v="6"/>
    <x v="1"/>
  </r>
  <r>
    <s v="Government"/>
    <x v="0"/>
    <x v="3"/>
    <s v="Mexico"/>
    <x v="5"/>
    <s v="High"/>
    <n v="344"/>
    <n v="260"/>
    <n v="350"/>
    <n v="120400"/>
    <n v="13244"/>
    <n v="107156"/>
    <n v="89440"/>
    <n v="17716"/>
    <n v="0.1653290529695024"/>
    <d v="2013-10-01T00:00:00"/>
    <n v="10"/>
    <x v="7"/>
    <x v="1"/>
  </r>
  <r>
    <s v="Midmarket"/>
    <x v="1"/>
    <x v="3"/>
    <s v="Mexico"/>
    <x v="5"/>
    <s v="High"/>
    <n v="2157"/>
    <n v="260"/>
    <n v="15"/>
    <n v="32355"/>
    <n v="3559.05"/>
    <n v="28795.95"/>
    <n v="21570"/>
    <n v="7225.9500000000007"/>
    <n v="0.25093632958801498"/>
    <d v="2014-12-01T00:00:00"/>
    <n v="12"/>
    <x v="2"/>
    <x v="0"/>
  </r>
  <r>
    <s v="Government"/>
    <x v="0"/>
    <x v="4"/>
    <s v="Usa"/>
    <x v="2"/>
    <s v="High"/>
    <n v="380"/>
    <n v="10"/>
    <n v="7"/>
    <n v="2660"/>
    <n v="292.60000000000002"/>
    <n v="2367.4"/>
    <n v="1900"/>
    <n v="467.40000000000009"/>
    <n v="0.19743178170144465"/>
    <d v="2013-09-01T00:00:00"/>
    <n v="9"/>
    <x v="6"/>
    <x v="1"/>
  </r>
  <r>
    <s v="Government"/>
    <x v="0"/>
    <x v="3"/>
    <s v="Mexico"/>
    <x v="0"/>
    <s v="High"/>
    <n v="886"/>
    <n v="3"/>
    <n v="350"/>
    <n v="310100"/>
    <n v="37212"/>
    <n v="272888"/>
    <n v="230360"/>
    <n v="42528"/>
    <n v="0.15584415584415584"/>
    <d v="2014-06-01T00:00:00"/>
    <n v="6"/>
    <x v="1"/>
    <x v="0"/>
  </r>
  <r>
    <s v="Enterprise"/>
    <x v="3"/>
    <x v="0"/>
    <s v="Canada"/>
    <x v="0"/>
    <s v="High"/>
    <n v="2416"/>
    <n v="3"/>
    <n v="125"/>
    <n v="302000"/>
    <n v="36240"/>
    <n v="265760"/>
    <n v="289920"/>
    <n v="-24160"/>
    <n v="-9.0909090909090912E-2"/>
    <d v="2013-09-01T00:00:00"/>
    <n v="9"/>
    <x v="6"/>
    <x v="1"/>
  </r>
  <r>
    <s v="Enterprise"/>
    <x v="3"/>
    <x v="3"/>
    <s v="Mexico"/>
    <x v="0"/>
    <s v="High"/>
    <n v="2156"/>
    <n v="3"/>
    <n v="125"/>
    <n v="269500"/>
    <n v="32340"/>
    <n v="237160"/>
    <n v="258720"/>
    <n v="-21560"/>
    <n v="-9.0909090909090912E-2"/>
    <d v="2014-10-01T00:00:00"/>
    <n v="10"/>
    <x v="7"/>
    <x v="0"/>
  </r>
  <r>
    <s v="Midmarket"/>
    <x v="1"/>
    <x v="0"/>
    <s v="Canada"/>
    <x v="0"/>
    <s v="High"/>
    <n v="2689"/>
    <n v="3"/>
    <n v="15"/>
    <n v="40335"/>
    <n v="4840.2"/>
    <n v="35494.800000000003"/>
    <n v="26890"/>
    <n v="8604.8000000000029"/>
    <n v="0.24242424242424249"/>
    <d v="2014-11-01T00:00:00"/>
    <n v="11"/>
    <x v="9"/>
    <x v="0"/>
  </r>
  <r>
    <s v="Midmarket"/>
    <x v="1"/>
    <x v="4"/>
    <s v="Usa"/>
    <x v="1"/>
    <s v="High"/>
    <n v="677"/>
    <n v="5"/>
    <n v="15"/>
    <n v="10155"/>
    <n v="1218.5999999999999"/>
    <n v="8936.4"/>
    <n v="6770"/>
    <n v="2166.3999999999996"/>
    <n v="0.2424242424242424"/>
    <d v="2014-03-01T00:00:00"/>
    <n v="3"/>
    <x v="3"/>
    <x v="0"/>
  </r>
  <r>
    <s v="small business"/>
    <x v="4"/>
    <x v="2"/>
    <s v="France"/>
    <x v="1"/>
    <s v="High"/>
    <n v="1773"/>
    <n v="5"/>
    <n v="300"/>
    <n v="531900"/>
    <n v="63828"/>
    <n v="468072"/>
    <n v="443250"/>
    <n v="24822"/>
    <n v="5.3030303030303032E-2"/>
    <d v="2014-04-01T00:00:00"/>
    <n v="4"/>
    <x v="10"/>
    <x v="0"/>
  </r>
  <r>
    <s v="Government"/>
    <x v="0"/>
    <x v="3"/>
    <s v="Mexico"/>
    <x v="1"/>
    <s v="High"/>
    <n v="2420"/>
    <n v="5"/>
    <n v="7"/>
    <n v="16940"/>
    <n v="2032.8"/>
    <n v="14907.2"/>
    <n v="12100"/>
    <n v="2807.2000000000007"/>
    <n v="0.18831168831168835"/>
    <d v="2014-09-01T00:00:00"/>
    <n v="9"/>
    <x v="6"/>
    <x v="0"/>
  </r>
  <r>
    <s v="Government"/>
    <x v="0"/>
    <x v="0"/>
    <s v="Canada"/>
    <x v="1"/>
    <s v="High"/>
    <n v="2734"/>
    <n v="5"/>
    <n v="7"/>
    <n v="19138"/>
    <n v="2296.56"/>
    <n v="16841.439999999999"/>
    <n v="13670"/>
    <n v="3171.4399999999987"/>
    <n v="0.18831168831168824"/>
    <d v="2014-10-01T00:00:00"/>
    <n v="10"/>
    <x v="7"/>
    <x v="0"/>
  </r>
  <r>
    <s v="Government"/>
    <x v="0"/>
    <x v="3"/>
    <s v="Mexico"/>
    <x v="1"/>
    <s v="High"/>
    <n v="1715"/>
    <n v="5"/>
    <n v="20"/>
    <n v="34300"/>
    <n v="4116"/>
    <n v="30184"/>
    <n v="17150"/>
    <n v="13034"/>
    <n v="0.43181818181818182"/>
    <d v="2013-10-01T00:00:00"/>
    <n v="10"/>
    <x v="7"/>
    <x v="1"/>
  </r>
  <r>
    <s v="small business"/>
    <x v="4"/>
    <x v="2"/>
    <s v="France"/>
    <x v="1"/>
    <s v="High"/>
    <n v="1186"/>
    <n v="5"/>
    <n v="300"/>
    <n v="355800"/>
    <n v="42696"/>
    <n v="313104"/>
    <n v="296500"/>
    <n v="16604"/>
    <n v="5.3030303030303032E-2"/>
    <d v="2013-12-01T00:00:00"/>
    <n v="12"/>
    <x v="2"/>
    <x v="1"/>
  </r>
  <r>
    <s v="small business"/>
    <x v="4"/>
    <x v="4"/>
    <s v="Usa"/>
    <x v="2"/>
    <s v="High"/>
    <n v="3495"/>
    <n v="10"/>
    <n v="300"/>
    <n v="1048500"/>
    <n v="125820"/>
    <n v="922680"/>
    <n v="873750"/>
    <n v="48930"/>
    <n v="5.3030303030303032E-2"/>
    <d v="2014-01-01T00:00:00"/>
    <n v="1"/>
    <x v="0"/>
    <x v="0"/>
  </r>
  <r>
    <s v="Government"/>
    <x v="0"/>
    <x v="3"/>
    <s v="Mexico"/>
    <x v="2"/>
    <s v="High"/>
    <n v="886"/>
    <n v="10"/>
    <n v="350"/>
    <n v="310100"/>
    <n v="37212"/>
    <n v="272888"/>
    <n v="230360"/>
    <n v="42528"/>
    <n v="0.15584415584415584"/>
    <d v="2014-06-01T00:00:00"/>
    <n v="6"/>
    <x v="1"/>
    <x v="0"/>
  </r>
  <r>
    <s v="Enterprise"/>
    <x v="3"/>
    <x v="3"/>
    <s v="Mexico"/>
    <x v="2"/>
    <s v="High"/>
    <n v="2156"/>
    <n v="10"/>
    <n v="125"/>
    <n v="269500"/>
    <n v="32340"/>
    <n v="237160"/>
    <n v="258720"/>
    <n v="-21560"/>
    <n v="-9.0909090909090912E-2"/>
    <d v="2014-10-01T00:00:00"/>
    <n v="10"/>
    <x v="7"/>
    <x v="0"/>
  </r>
  <r>
    <s v="Government"/>
    <x v="0"/>
    <x v="3"/>
    <s v="Mexico"/>
    <x v="2"/>
    <s v="High"/>
    <n v="905"/>
    <n v="10"/>
    <n v="20"/>
    <n v="18100"/>
    <n v="2172"/>
    <n v="15928"/>
    <n v="9050"/>
    <n v="6878"/>
    <n v="0.43181818181818182"/>
    <d v="2014-10-01T00:00:00"/>
    <n v="10"/>
    <x v="7"/>
    <x v="0"/>
  </r>
  <r>
    <s v="Government"/>
    <x v="0"/>
    <x v="3"/>
    <s v="Mexico"/>
    <x v="2"/>
    <s v="High"/>
    <n v="1715"/>
    <n v="10"/>
    <n v="20"/>
    <n v="34300"/>
    <n v="4116"/>
    <n v="30184"/>
    <n v="17150"/>
    <n v="13034"/>
    <n v="0.43181818181818182"/>
    <d v="2013-10-01T00:00:00"/>
    <n v="10"/>
    <x v="7"/>
    <x v="1"/>
  </r>
  <r>
    <s v="Government"/>
    <x v="0"/>
    <x v="2"/>
    <s v="France"/>
    <x v="2"/>
    <s v="High"/>
    <n v="1594"/>
    <n v="10"/>
    <n v="350"/>
    <n v="557900"/>
    <n v="66948"/>
    <n v="490952"/>
    <n v="414440"/>
    <n v="76512"/>
    <n v="0.15584415584415584"/>
    <d v="2014-11-01T00:00:00"/>
    <n v="11"/>
    <x v="9"/>
    <x v="0"/>
  </r>
  <r>
    <s v="small business"/>
    <x v="4"/>
    <x v="1"/>
    <s v="Germany"/>
    <x v="2"/>
    <s v="High"/>
    <n v="1359"/>
    <n v="10"/>
    <n v="300"/>
    <n v="407700"/>
    <n v="48924"/>
    <n v="358776"/>
    <n v="339750"/>
    <n v="19026"/>
    <n v="5.3030303030303032E-2"/>
    <d v="2014-11-01T00:00:00"/>
    <n v="11"/>
    <x v="9"/>
    <x v="0"/>
  </r>
  <r>
    <s v="small business"/>
    <x v="4"/>
    <x v="3"/>
    <s v="Mexico"/>
    <x v="2"/>
    <s v="High"/>
    <n v="2150"/>
    <n v="10"/>
    <n v="300"/>
    <n v="645000"/>
    <n v="77400"/>
    <n v="567600"/>
    <n v="537500"/>
    <n v="30100"/>
    <n v="5.3030303030303032E-2"/>
    <d v="2014-11-01T00:00:00"/>
    <n v="11"/>
    <x v="9"/>
    <x v="0"/>
  </r>
  <r>
    <s v="Government"/>
    <x v="0"/>
    <x v="3"/>
    <s v="Mexico"/>
    <x v="2"/>
    <s v="High"/>
    <n v="1197"/>
    <n v="10"/>
    <n v="350"/>
    <n v="418950"/>
    <n v="50274"/>
    <n v="368676"/>
    <n v="311220"/>
    <n v="57456"/>
    <n v="0.15584415584415584"/>
    <d v="2014-11-01T00:00:00"/>
    <n v="11"/>
    <x v="9"/>
    <x v="0"/>
  </r>
  <r>
    <s v="Midmarket"/>
    <x v="1"/>
    <x v="3"/>
    <s v="Mexico"/>
    <x v="2"/>
    <s v="High"/>
    <n v="380"/>
    <n v="10"/>
    <n v="15"/>
    <n v="5700"/>
    <n v="684"/>
    <n v="5016"/>
    <n v="3800"/>
    <n v="1216"/>
    <n v="0.24242424242424243"/>
    <d v="2013-12-01T00:00:00"/>
    <n v="12"/>
    <x v="2"/>
    <x v="1"/>
  </r>
  <r>
    <s v="Government"/>
    <x v="0"/>
    <x v="3"/>
    <s v="Mexico"/>
    <x v="2"/>
    <s v="High"/>
    <n v="1233"/>
    <n v="10"/>
    <n v="20"/>
    <n v="24660"/>
    <n v="2959.2"/>
    <n v="21700.799999999999"/>
    <n v="12330"/>
    <n v="9370.7999999999993"/>
    <n v="0.43181818181818182"/>
    <d v="2014-12-01T00:00:00"/>
    <n v="12"/>
    <x v="2"/>
    <x v="0"/>
  </r>
  <r>
    <s v="Government"/>
    <x v="0"/>
    <x v="3"/>
    <s v="Mexico"/>
    <x v="3"/>
    <s v="High"/>
    <n v="1395"/>
    <n v="120"/>
    <n v="350"/>
    <n v="488250"/>
    <n v="58590"/>
    <n v="429660"/>
    <n v="362700"/>
    <n v="66960"/>
    <n v="0.15584415584415584"/>
    <d v="2014-07-01T00:00:00"/>
    <n v="7"/>
    <x v="4"/>
    <x v="0"/>
  </r>
  <r>
    <s v="Government"/>
    <x v="0"/>
    <x v="4"/>
    <s v="Usa"/>
    <x v="3"/>
    <s v="High"/>
    <n v="986"/>
    <n v="120"/>
    <n v="350"/>
    <n v="345100"/>
    <n v="41412"/>
    <n v="303688"/>
    <n v="256360"/>
    <n v="47328"/>
    <n v="0.15584415584415584"/>
    <d v="2014-10-01T00:00:00"/>
    <n v="10"/>
    <x v="7"/>
    <x v="0"/>
  </r>
  <r>
    <s v="Government"/>
    <x v="0"/>
    <x v="3"/>
    <s v="Mexico"/>
    <x v="3"/>
    <s v="High"/>
    <n v="905"/>
    <n v="120"/>
    <n v="20"/>
    <n v="18100"/>
    <n v="2172"/>
    <n v="15928"/>
    <n v="9050"/>
    <n v="6878"/>
    <n v="0.43181818181818182"/>
    <d v="2014-10-01T00:00:00"/>
    <n v="10"/>
    <x v="7"/>
    <x v="0"/>
  </r>
  <r>
    <s v="Channel Partners"/>
    <x v="2"/>
    <x v="0"/>
    <s v="Canada"/>
    <x v="4"/>
    <s v="High"/>
    <n v="2109"/>
    <n v="250"/>
    <n v="12"/>
    <n v="25308"/>
    <n v="3036.96"/>
    <n v="22271.040000000001"/>
    <n v="6327"/>
    <n v="15944.04"/>
    <n v="0.71590909090909094"/>
    <d v="2014-05-01T00:00:00"/>
    <n v="5"/>
    <x v="11"/>
    <x v="0"/>
  </r>
  <r>
    <s v="Midmarket"/>
    <x v="1"/>
    <x v="2"/>
    <s v="France"/>
    <x v="4"/>
    <s v="High"/>
    <n v="3874.5"/>
    <n v="250"/>
    <n v="15"/>
    <n v="58117.5"/>
    <n v="6974.0999999999995"/>
    <n v="51143.4"/>
    <n v="38745"/>
    <n v="12398.400000000001"/>
    <n v="0.24242424242424246"/>
    <d v="2014-07-01T00:00:00"/>
    <n v="7"/>
    <x v="4"/>
    <x v="0"/>
  </r>
  <r>
    <s v="Government"/>
    <x v="0"/>
    <x v="0"/>
    <s v="Canada"/>
    <x v="4"/>
    <s v="High"/>
    <n v="623"/>
    <n v="250"/>
    <n v="350"/>
    <n v="218050"/>
    <n v="26166"/>
    <n v="191884"/>
    <n v="161980"/>
    <n v="29904"/>
    <n v="0.15584415584415584"/>
    <d v="2013-09-01T00:00:00"/>
    <n v="9"/>
    <x v="6"/>
    <x v="1"/>
  </r>
  <r>
    <s v="Government"/>
    <x v="0"/>
    <x v="4"/>
    <s v="Usa"/>
    <x v="4"/>
    <s v="High"/>
    <n v="986"/>
    <n v="250"/>
    <n v="350"/>
    <n v="345100"/>
    <n v="41412"/>
    <n v="303688"/>
    <n v="256360"/>
    <n v="47328"/>
    <n v="0.15584415584415584"/>
    <d v="2014-10-01T00:00:00"/>
    <n v="10"/>
    <x v="7"/>
    <x v="0"/>
  </r>
  <r>
    <s v="Enterprise"/>
    <x v="3"/>
    <x v="4"/>
    <s v="Usa"/>
    <x v="4"/>
    <s v="High"/>
    <n v="2387"/>
    <n v="250"/>
    <n v="125"/>
    <n v="298375"/>
    <n v="35805"/>
    <n v="262570"/>
    <n v="286440"/>
    <n v="-23870"/>
    <n v="-9.0909090909090912E-2"/>
    <d v="2014-11-01T00:00:00"/>
    <n v="11"/>
    <x v="9"/>
    <x v="0"/>
  </r>
  <r>
    <s v="Government"/>
    <x v="0"/>
    <x v="3"/>
    <s v="Mexico"/>
    <x v="4"/>
    <s v="High"/>
    <n v="1233"/>
    <n v="250"/>
    <n v="20"/>
    <n v="24660"/>
    <n v="2959.2"/>
    <n v="21700.799999999999"/>
    <n v="12330"/>
    <n v="9370.7999999999993"/>
    <n v="0.43181818181818182"/>
    <d v="2014-12-01T00:00:00"/>
    <n v="12"/>
    <x v="2"/>
    <x v="0"/>
  </r>
  <r>
    <s v="Government"/>
    <x v="0"/>
    <x v="4"/>
    <s v="Usa"/>
    <x v="5"/>
    <s v="High"/>
    <n v="270"/>
    <n v="260"/>
    <n v="350"/>
    <n v="94500"/>
    <n v="11340"/>
    <n v="83160"/>
    <n v="70200"/>
    <n v="12960"/>
    <n v="0.15584415584415584"/>
    <d v="2014-02-01T00:00:00"/>
    <n v="2"/>
    <x v="8"/>
    <x v="0"/>
  </r>
  <r>
    <s v="Government"/>
    <x v="0"/>
    <x v="2"/>
    <s v="France"/>
    <x v="5"/>
    <s v="High"/>
    <n v="3421.5"/>
    <n v="260"/>
    <n v="7"/>
    <n v="23950.5"/>
    <n v="2874.06"/>
    <n v="21076.44"/>
    <n v="17107.5"/>
    <n v="3968.9399999999987"/>
    <n v="0.18831168831168826"/>
    <d v="2014-07-01T00:00:00"/>
    <n v="7"/>
    <x v="4"/>
    <x v="0"/>
  </r>
  <r>
    <s v="Government"/>
    <x v="0"/>
    <x v="0"/>
    <s v="Canada"/>
    <x v="5"/>
    <s v="High"/>
    <n v="2734"/>
    <n v="260"/>
    <n v="7"/>
    <n v="19138"/>
    <n v="2296.56"/>
    <n v="16841.439999999999"/>
    <n v="13670"/>
    <n v="3171.4399999999987"/>
    <n v="0.18831168831168824"/>
    <d v="2014-10-01T00:00:00"/>
    <n v="10"/>
    <x v="7"/>
    <x v="0"/>
  </r>
  <r>
    <s v="Midmarket"/>
    <x v="1"/>
    <x v="4"/>
    <s v="Usa"/>
    <x v="5"/>
    <s v="High"/>
    <n v="2548"/>
    <n v="260"/>
    <n v="15"/>
    <n v="38220"/>
    <n v="4586.3999999999996"/>
    <n v="33633.599999999999"/>
    <n v="25480"/>
    <n v="8153.5999999999985"/>
    <n v="0.2424242424242424"/>
    <d v="2013-11-01T00:00:00"/>
    <n v="11"/>
    <x v="9"/>
    <x v="1"/>
  </r>
  <r>
    <s v="Government"/>
    <x v="0"/>
    <x v="2"/>
    <s v="France"/>
    <x v="0"/>
    <s v="High"/>
    <n v="2521.5"/>
    <n v="3"/>
    <n v="20"/>
    <n v="50430"/>
    <n v="6051.6"/>
    <n v="44378.400000000001"/>
    <n v="25215"/>
    <n v="19163.400000000001"/>
    <n v="0.43181818181818182"/>
    <d v="2014-01-01T00:00:00"/>
    <n v="1"/>
    <x v="0"/>
    <x v="0"/>
  </r>
  <r>
    <s v="Channel Partners"/>
    <x v="2"/>
    <x v="3"/>
    <s v="Mexico"/>
    <x v="1"/>
    <s v="High"/>
    <n v="2661"/>
    <n v="5"/>
    <n v="12"/>
    <n v="31932"/>
    <n v="3831.84"/>
    <n v="28100.16"/>
    <n v="7983"/>
    <n v="20117.16"/>
    <n v="0.71590909090909094"/>
    <d v="2014-05-01T00:00:00"/>
    <n v="5"/>
    <x v="11"/>
    <x v="0"/>
  </r>
  <r>
    <s v="Government"/>
    <x v="0"/>
    <x v="1"/>
    <s v="Germany"/>
    <x v="2"/>
    <s v="High"/>
    <n v="1531"/>
    <n v="10"/>
    <n v="20"/>
    <n v="30620"/>
    <n v="3674.4"/>
    <n v="26945.599999999999"/>
    <n v="15310"/>
    <n v="11635.599999999999"/>
    <n v="0.43181818181818177"/>
    <d v="2014-12-01T00:00:00"/>
    <n v="12"/>
    <x v="2"/>
    <x v="0"/>
  </r>
  <r>
    <s v="Government"/>
    <x v="0"/>
    <x v="2"/>
    <s v="France"/>
    <x v="4"/>
    <s v="High"/>
    <n v="1491"/>
    <n v="250"/>
    <n v="7"/>
    <n v="10437"/>
    <n v="1252.44"/>
    <n v="9184.56"/>
    <n v="7455"/>
    <n v="1729.5599999999995"/>
    <n v="0.18831168831168826"/>
    <d v="2014-03-01T00:00:00"/>
    <n v="3"/>
    <x v="3"/>
    <x v="0"/>
  </r>
  <r>
    <s v="Government"/>
    <x v="0"/>
    <x v="1"/>
    <s v="Germany"/>
    <x v="4"/>
    <s v="High"/>
    <n v="1531"/>
    <n v="250"/>
    <n v="20"/>
    <n v="30620"/>
    <n v="3674.4"/>
    <n v="26945.599999999999"/>
    <n v="15310"/>
    <n v="11635.599999999999"/>
    <n v="0.43181818181818177"/>
    <d v="2014-12-01T00:00:00"/>
    <n v="12"/>
    <x v="2"/>
    <x v="0"/>
  </r>
  <r>
    <s v="Channel Partners"/>
    <x v="2"/>
    <x v="0"/>
    <s v="Canada"/>
    <x v="5"/>
    <s v="High"/>
    <n v="2761"/>
    <n v="260"/>
    <n v="12"/>
    <n v="33132"/>
    <n v="3975.84"/>
    <n v="29156.16"/>
    <n v="8283"/>
    <n v="20873.16"/>
    <n v="0.71590909090909094"/>
    <d v="2013-09-01T00:00:00"/>
    <n v="9"/>
    <x v="6"/>
    <x v="1"/>
  </r>
  <r>
    <s v="Midmarket"/>
    <x v="1"/>
    <x v="4"/>
    <s v="Usa"/>
    <x v="0"/>
    <s v="High"/>
    <n v="2567"/>
    <n v="3"/>
    <n v="15"/>
    <n v="38505"/>
    <n v="5005.6499999999996"/>
    <n v="33499.35"/>
    <n v="25670"/>
    <n v="7829.3499999999985"/>
    <n v="0.23371647509578541"/>
    <d v="2014-06-01T00:00:00"/>
    <n v="6"/>
    <x v="1"/>
    <x v="0"/>
  </r>
  <r>
    <s v="Midmarket"/>
    <x v="1"/>
    <x v="4"/>
    <s v="Usa"/>
    <x v="4"/>
    <s v="High"/>
    <n v="2567"/>
    <n v="250"/>
    <n v="15"/>
    <n v="38505"/>
    <n v="5005.6499999999996"/>
    <n v="33499.35"/>
    <n v="25670"/>
    <n v="7829.3499999999985"/>
    <n v="0.23371647509578541"/>
    <d v="2014-06-01T00:00:00"/>
    <n v="6"/>
    <x v="1"/>
    <x v="0"/>
  </r>
  <r>
    <s v="Government"/>
    <x v="0"/>
    <x v="0"/>
    <s v="Canada"/>
    <x v="0"/>
    <s v="High"/>
    <n v="923"/>
    <n v="3"/>
    <n v="350"/>
    <n v="323050"/>
    <n v="41996.5"/>
    <n v="281053.5"/>
    <n v="239980"/>
    <n v="41073.5"/>
    <n v="0.14614121510673234"/>
    <d v="2014-03-01T00:00:00"/>
    <n v="3"/>
    <x v="3"/>
    <x v="0"/>
  </r>
  <r>
    <s v="Government"/>
    <x v="0"/>
    <x v="2"/>
    <s v="France"/>
    <x v="0"/>
    <s v="High"/>
    <n v="1790"/>
    <n v="3"/>
    <n v="350"/>
    <n v="626500"/>
    <n v="81445"/>
    <n v="545055"/>
    <n v="465400"/>
    <n v="79655"/>
    <n v="0.14614121510673234"/>
    <d v="2014-03-01T00:00:00"/>
    <n v="3"/>
    <x v="3"/>
    <x v="0"/>
  </r>
  <r>
    <s v="Government"/>
    <x v="0"/>
    <x v="1"/>
    <s v="Germany"/>
    <x v="0"/>
    <s v="High"/>
    <n v="442"/>
    <n v="3"/>
    <n v="20"/>
    <n v="8840"/>
    <n v="1149.2"/>
    <n v="7690.8"/>
    <n v="4420"/>
    <n v="3270.8"/>
    <n v="0.42528735632183912"/>
    <d v="2013-09-01T00:00:00"/>
    <n v="9"/>
    <x v="6"/>
    <x v="1"/>
  </r>
  <r>
    <s v="Government"/>
    <x v="0"/>
    <x v="4"/>
    <s v="Usa"/>
    <x v="1"/>
    <s v="High"/>
    <n v="982.5"/>
    <n v="5"/>
    <n v="350"/>
    <n v="343875"/>
    <n v="44703.75"/>
    <n v="299171.25"/>
    <n v="255450"/>
    <n v="43721.25"/>
    <n v="0.14614121510673234"/>
    <d v="2014-01-01T00:00:00"/>
    <n v="1"/>
    <x v="0"/>
    <x v="0"/>
  </r>
  <r>
    <s v="Government"/>
    <x v="0"/>
    <x v="4"/>
    <s v="Usa"/>
    <x v="1"/>
    <s v="High"/>
    <n v="1298"/>
    <n v="5"/>
    <n v="7"/>
    <n v="9086"/>
    <n v="1181.18"/>
    <n v="7904.82"/>
    <n v="6490"/>
    <n v="1414.8199999999997"/>
    <n v="0.17898193760262723"/>
    <d v="2014-02-01T00:00:00"/>
    <n v="2"/>
    <x v="8"/>
    <x v="0"/>
  </r>
  <r>
    <s v="Channel Partners"/>
    <x v="2"/>
    <x v="3"/>
    <s v="Mexico"/>
    <x v="1"/>
    <s v="High"/>
    <n v="604"/>
    <n v="5"/>
    <n v="12"/>
    <n v="7248"/>
    <n v="942.24"/>
    <n v="6305.76"/>
    <n v="1812"/>
    <n v="4493.76"/>
    <n v="0.71264367816091956"/>
    <d v="2014-06-01T00:00:00"/>
    <n v="6"/>
    <x v="1"/>
    <x v="0"/>
  </r>
  <r>
    <s v="Government"/>
    <x v="0"/>
    <x v="3"/>
    <s v="Mexico"/>
    <x v="1"/>
    <s v="High"/>
    <n v="2255"/>
    <n v="5"/>
    <n v="20"/>
    <n v="45100"/>
    <n v="5863"/>
    <n v="39237"/>
    <n v="22550"/>
    <n v="16687"/>
    <n v="0.42528735632183906"/>
    <d v="2014-07-01T00:00:00"/>
    <n v="7"/>
    <x v="4"/>
    <x v="0"/>
  </r>
  <r>
    <s v="Government"/>
    <x v="0"/>
    <x v="0"/>
    <s v="Canada"/>
    <x v="1"/>
    <s v="High"/>
    <n v="1249"/>
    <n v="5"/>
    <n v="20"/>
    <n v="24980"/>
    <n v="3247.4"/>
    <n v="21732.6"/>
    <n v="12490"/>
    <n v="9242.5999999999985"/>
    <n v="0.42528735632183906"/>
    <d v="2014-10-01T00:00:00"/>
    <n v="10"/>
    <x v="7"/>
    <x v="0"/>
  </r>
  <r>
    <s v="Government"/>
    <x v="0"/>
    <x v="4"/>
    <s v="Usa"/>
    <x v="2"/>
    <s v="High"/>
    <n v="1438.5"/>
    <n v="10"/>
    <n v="7"/>
    <n v="10069.5"/>
    <n v="1309.0350000000001"/>
    <n v="8760.4650000000001"/>
    <n v="7192.5"/>
    <n v="1567.9650000000001"/>
    <n v="0.17898193760262726"/>
    <d v="2014-01-01T00:00:00"/>
    <n v="1"/>
    <x v="0"/>
    <x v="0"/>
  </r>
  <r>
    <s v="small business"/>
    <x v="4"/>
    <x v="1"/>
    <s v="Germany"/>
    <x v="2"/>
    <s v="High"/>
    <n v="807"/>
    <n v="10"/>
    <n v="300"/>
    <n v="242100"/>
    <n v="31473"/>
    <n v="210627"/>
    <n v="201750"/>
    <n v="8877"/>
    <n v="4.2145593869731802E-2"/>
    <d v="2014-01-01T00:00:00"/>
    <n v="1"/>
    <x v="0"/>
    <x v="0"/>
  </r>
  <r>
    <s v="Government"/>
    <x v="0"/>
    <x v="4"/>
    <s v="Usa"/>
    <x v="2"/>
    <s v="High"/>
    <n v="2641"/>
    <n v="10"/>
    <n v="20"/>
    <n v="52820"/>
    <n v="6866.6"/>
    <n v="45953.4"/>
    <n v="26410"/>
    <n v="19543.400000000001"/>
    <n v="0.42528735632183912"/>
    <d v="2014-02-01T00:00:00"/>
    <n v="2"/>
    <x v="8"/>
    <x v="0"/>
  </r>
  <r>
    <s v="Government"/>
    <x v="0"/>
    <x v="1"/>
    <s v="Germany"/>
    <x v="2"/>
    <s v="High"/>
    <n v="2708"/>
    <n v="10"/>
    <n v="20"/>
    <n v="54160"/>
    <n v="7040.8"/>
    <n v="47119.199999999997"/>
    <n v="27080"/>
    <n v="20039.199999999997"/>
    <n v="0.42528735632183906"/>
    <d v="2014-02-01T00:00:00"/>
    <n v="2"/>
    <x v="8"/>
    <x v="0"/>
  </r>
  <r>
    <s v="Government"/>
    <x v="0"/>
    <x v="0"/>
    <s v="Canada"/>
    <x v="2"/>
    <s v="High"/>
    <n v="2632"/>
    <n v="10"/>
    <n v="350"/>
    <n v="921200"/>
    <n v="119756"/>
    <n v="801444"/>
    <n v="684320"/>
    <n v="117124"/>
    <n v="0.14614121510673234"/>
    <d v="2014-06-01T00:00:00"/>
    <n v="6"/>
    <x v="1"/>
    <x v="0"/>
  </r>
  <r>
    <s v="Enterprise"/>
    <x v="3"/>
    <x v="0"/>
    <s v="Canada"/>
    <x v="2"/>
    <s v="High"/>
    <n v="1583"/>
    <n v="10"/>
    <n v="125"/>
    <n v="197875"/>
    <n v="25723.75"/>
    <n v="172151.25"/>
    <n v="189960"/>
    <n v="-17808.75"/>
    <n v="-0.10344827586206896"/>
    <d v="2014-06-01T00:00:00"/>
    <n v="6"/>
    <x v="1"/>
    <x v="0"/>
  </r>
  <r>
    <s v="Channel Partners"/>
    <x v="2"/>
    <x v="3"/>
    <s v="Mexico"/>
    <x v="2"/>
    <s v="High"/>
    <n v="571"/>
    <n v="10"/>
    <n v="12"/>
    <n v="6852"/>
    <n v="890.76"/>
    <n v="5961.24"/>
    <n v="1713"/>
    <n v="4248.24"/>
    <n v="0.71264367816091956"/>
    <d v="2014-07-01T00:00:00"/>
    <n v="7"/>
    <x v="4"/>
    <x v="0"/>
  </r>
  <r>
    <s v="Government"/>
    <x v="0"/>
    <x v="2"/>
    <s v="France"/>
    <x v="2"/>
    <s v="High"/>
    <n v="2696"/>
    <n v="10"/>
    <n v="7"/>
    <n v="18872"/>
    <n v="2453.36"/>
    <n v="16418.64"/>
    <n v="13480"/>
    <n v="2938.6399999999994"/>
    <n v="0.17898193760262723"/>
    <d v="2014-08-01T00:00:00"/>
    <n v="8"/>
    <x v="5"/>
    <x v="0"/>
  </r>
  <r>
    <s v="Midmarket"/>
    <x v="1"/>
    <x v="0"/>
    <s v="Canada"/>
    <x v="2"/>
    <s v="High"/>
    <n v="1565"/>
    <n v="10"/>
    <n v="15"/>
    <n v="23475"/>
    <n v="3051.75"/>
    <n v="20423.25"/>
    <n v="15650"/>
    <n v="4773.25"/>
    <n v="0.23371647509578544"/>
    <d v="2014-10-01T00:00:00"/>
    <n v="10"/>
    <x v="7"/>
    <x v="0"/>
  </r>
  <r>
    <s v="Government"/>
    <x v="0"/>
    <x v="0"/>
    <s v="Canada"/>
    <x v="2"/>
    <s v="High"/>
    <n v="1249"/>
    <n v="10"/>
    <n v="20"/>
    <n v="24980"/>
    <n v="3247.4"/>
    <n v="21732.6"/>
    <n v="12490"/>
    <n v="9242.5999999999985"/>
    <n v="0.42528735632183906"/>
    <d v="2014-10-01T00:00:00"/>
    <n v="10"/>
    <x v="7"/>
    <x v="0"/>
  </r>
  <r>
    <s v="Government"/>
    <x v="0"/>
    <x v="1"/>
    <s v="Germany"/>
    <x v="2"/>
    <s v="High"/>
    <n v="357"/>
    <n v="10"/>
    <n v="350"/>
    <n v="124950"/>
    <n v="16243.5"/>
    <n v="108706.5"/>
    <n v="92820"/>
    <n v="15886.5"/>
    <n v="0.14614121510673234"/>
    <d v="2014-11-01T00:00:00"/>
    <n v="11"/>
    <x v="9"/>
    <x v="0"/>
  </r>
  <r>
    <s v="Channel Partners"/>
    <x v="2"/>
    <x v="1"/>
    <s v="Germany"/>
    <x v="2"/>
    <s v="High"/>
    <n v="1013"/>
    <n v="10"/>
    <n v="12"/>
    <n v="12156"/>
    <n v="1580.28"/>
    <n v="10575.72"/>
    <n v="3039"/>
    <n v="7536.7199999999993"/>
    <n v="0.71264367816091956"/>
    <d v="2014-12-01T00:00:00"/>
    <n v="12"/>
    <x v="2"/>
    <x v="0"/>
  </r>
  <r>
    <s v="Midmarket"/>
    <x v="1"/>
    <x v="2"/>
    <s v="France"/>
    <x v="3"/>
    <s v="High"/>
    <n v="3997.5"/>
    <n v="120"/>
    <n v="15"/>
    <n v="59962.5"/>
    <n v="7795.125"/>
    <n v="52167.375"/>
    <n v="39975"/>
    <n v="12192.375"/>
    <n v="0.23371647509578544"/>
    <d v="2014-01-01T00:00:00"/>
    <n v="1"/>
    <x v="0"/>
    <x v="0"/>
  </r>
  <r>
    <s v="Government"/>
    <x v="0"/>
    <x v="0"/>
    <s v="Canada"/>
    <x v="3"/>
    <s v="High"/>
    <n v="2632"/>
    <n v="120"/>
    <n v="350"/>
    <n v="921200"/>
    <n v="119756"/>
    <n v="801444"/>
    <n v="684320"/>
    <n v="117124"/>
    <n v="0.14614121510673234"/>
    <d v="2014-06-01T00:00:00"/>
    <n v="6"/>
    <x v="1"/>
    <x v="0"/>
  </r>
  <r>
    <s v="Government"/>
    <x v="0"/>
    <x v="2"/>
    <s v="France"/>
    <x v="3"/>
    <s v="High"/>
    <n v="1190"/>
    <n v="120"/>
    <n v="7"/>
    <n v="8330"/>
    <n v="1082.9000000000001"/>
    <n v="7247.1"/>
    <n v="5950"/>
    <n v="1297.1000000000004"/>
    <n v="0.17898193760262729"/>
    <d v="2014-06-01T00:00:00"/>
    <n v="6"/>
    <x v="1"/>
    <x v="0"/>
  </r>
  <r>
    <s v="Channel Partners"/>
    <x v="2"/>
    <x v="3"/>
    <s v="Mexico"/>
    <x v="3"/>
    <s v="High"/>
    <n v="604"/>
    <n v="120"/>
    <n v="12"/>
    <n v="7248"/>
    <n v="942.24"/>
    <n v="6305.76"/>
    <n v="1812"/>
    <n v="4493.76"/>
    <n v="0.71264367816091956"/>
    <d v="2014-06-01T00:00:00"/>
    <n v="6"/>
    <x v="1"/>
    <x v="0"/>
  </r>
  <r>
    <s v="Midmarket"/>
    <x v="1"/>
    <x v="1"/>
    <s v="Germany"/>
    <x v="3"/>
    <s v="High"/>
    <n v="660"/>
    <n v="120"/>
    <n v="15"/>
    <n v="9900"/>
    <n v="1287"/>
    <n v="8613"/>
    <n v="6600"/>
    <n v="2013"/>
    <n v="0.23371647509578544"/>
    <d v="2013-09-01T00:00:00"/>
    <n v="9"/>
    <x v="6"/>
    <x v="1"/>
  </r>
  <r>
    <s v="Channel Partners"/>
    <x v="2"/>
    <x v="3"/>
    <s v="Mexico"/>
    <x v="3"/>
    <s v="High"/>
    <n v="410"/>
    <n v="120"/>
    <n v="12"/>
    <n v="4920"/>
    <n v="639.6"/>
    <n v="4280.3999999999996"/>
    <n v="1230"/>
    <n v="3050.3999999999996"/>
    <n v="0.71264367816091956"/>
    <d v="2014-10-01T00:00:00"/>
    <n v="10"/>
    <x v="7"/>
    <x v="0"/>
  </r>
  <r>
    <s v="small business"/>
    <x v="4"/>
    <x v="3"/>
    <s v="Mexico"/>
    <x v="3"/>
    <s v="High"/>
    <n v="2605"/>
    <n v="120"/>
    <n v="300"/>
    <n v="781500"/>
    <n v="101595"/>
    <n v="679905"/>
    <n v="651250"/>
    <n v="28655"/>
    <n v="4.2145593869731802E-2"/>
    <d v="2013-11-01T00:00:00"/>
    <n v="11"/>
    <x v="9"/>
    <x v="1"/>
  </r>
  <r>
    <s v="Channel Partners"/>
    <x v="2"/>
    <x v="1"/>
    <s v="Germany"/>
    <x v="3"/>
    <s v="High"/>
    <n v="1013"/>
    <n v="120"/>
    <n v="12"/>
    <n v="12156"/>
    <n v="1580.28"/>
    <n v="10575.72"/>
    <n v="3039"/>
    <n v="7536.7199999999993"/>
    <n v="0.71264367816091956"/>
    <d v="2014-12-01T00:00:00"/>
    <n v="12"/>
    <x v="2"/>
    <x v="0"/>
  </r>
  <r>
    <s v="Enterprise"/>
    <x v="3"/>
    <x v="0"/>
    <s v="Canada"/>
    <x v="4"/>
    <s v="High"/>
    <n v="1583"/>
    <n v="250"/>
    <n v="125"/>
    <n v="197875"/>
    <n v="25723.75"/>
    <n v="172151.25"/>
    <n v="189960"/>
    <n v="-17808.75"/>
    <n v="-0.10344827586206896"/>
    <d v="2014-06-01T00:00:00"/>
    <n v="6"/>
    <x v="1"/>
    <x v="0"/>
  </r>
  <r>
    <s v="Midmarket"/>
    <x v="1"/>
    <x v="0"/>
    <s v="Canada"/>
    <x v="4"/>
    <s v="High"/>
    <n v="1565"/>
    <n v="250"/>
    <n v="15"/>
    <n v="23475"/>
    <n v="3051.75"/>
    <n v="20423.25"/>
    <n v="15650"/>
    <n v="4773.25"/>
    <n v="0.23371647509578544"/>
    <d v="2014-10-01T00:00:00"/>
    <n v="10"/>
    <x v="7"/>
    <x v="0"/>
  </r>
  <r>
    <s v="Enterprise"/>
    <x v="3"/>
    <x v="0"/>
    <s v="Canada"/>
    <x v="5"/>
    <s v="High"/>
    <n v="1659"/>
    <n v="260"/>
    <n v="125"/>
    <n v="207375"/>
    <n v="26958.75"/>
    <n v="180416.25"/>
    <n v="199080"/>
    <n v="-18663.75"/>
    <n v="-0.10344827586206896"/>
    <d v="2014-01-01T00:00:00"/>
    <n v="1"/>
    <x v="0"/>
    <x v="0"/>
  </r>
  <r>
    <s v="Government"/>
    <x v="0"/>
    <x v="2"/>
    <s v="France"/>
    <x v="5"/>
    <s v="High"/>
    <n v="1190"/>
    <n v="260"/>
    <n v="7"/>
    <n v="8330"/>
    <n v="1082.9000000000001"/>
    <n v="7247.1"/>
    <n v="5950"/>
    <n v="1297.1000000000004"/>
    <n v="0.17898193760262729"/>
    <d v="2014-06-01T00:00:00"/>
    <n v="6"/>
    <x v="1"/>
    <x v="0"/>
  </r>
  <r>
    <s v="Channel Partners"/>
    <x v="2"/>
    <x v="3"/>
    <s v="Mexico"/>
    <x v="5"/>
    <s v="High"/>
    <n v="410"/>
    <n v="260"/>
    <n v="12"/>
    <n v="4920"/>
    <n v="639.6"/>
    <n v="4280.3999999999996"/>
    <n v="1230"/>
    <n v="3050.3999999999996"/>
    <n v="0.71264367816091956"/>
    <d v="2014-10-01T00:00:00"/>
    <n v="10"/>
    <x v="7"/>
    <x v="0"/>
  </r>
  <r>
    <s v="Channel Partners"/>
    <x v="2"/>
    <x v="1"/>
    <s v="Germany"/>
    <x v="5"/>
    <s v="High"/>
    <n v="1770"/>
    <n v="260"/>
    <n v="12"/>
    <n v="21240"/>
    <n v="2761.2"/>
    <n v="18478.8"/>
    <n v="5310"/>
    <n v="13168.8"/>
    <n v="0.71264367816091956"/>
    <d v="2013-12-01T00:00:00"/>
    <n v="12"/>
    <x v="2"/>
    <x v="1"/>
  </r>
  <r>
    <s v="Government"/>
    <x v="0"/>
    <x v="3"/>
    <s v="Mexico"/>
    <x v="0"/>
    <s v="High"/>
    <n v="2579"/>
    <n v="3"/>
    <n v="20"/>
    <n v="51580"/>
    <n v="7221.2"/>
    <n v="44358.8"/>
    <n v="25790"/>
    <n v="18568.800000000003"/>
    <n v="0.41860465116279072"/>
    <d v="2014-04-01T00:00:00"/>
    <n v="4"/>
    <x v="10"/>
    <x v="0"/>
  </r>
  <r>
    <s v="Government"/>
    <x v="0"/>
    <x v="4"/>
    <s v="Usa"/>
    <x v="0"/>
    <s v="High"/>
    <n v="1743"/>
    <n v="3"/>
    <n v="20"/>
    <n v="34860"/>
    <n v="4880.3999999999996"/>
    <n v="29979.599999999999"/>
    <n v="17430"/>
    <n v="12549.599999999999"/>
    <n v="0.41860465116279066"/>
    <d v="2014-05-01T00:00:00"/>
    <n v="5"/>
    <x v="11"/>
    <x v="0"/>
  </r>
  <r>
    <s v="Government"/>
    <x v="0"/>
    <x v="4"/>
    <s v="Usa"/>
    <x v="0"/>
    <s v="High"/>
    <n v="2996"/>
    <n v="3"/>
    <n v="7"/>
    <n v="20972"/>
    <n v="2936.08"/>
    <n v="18035.919999999998"/>
    <n v="14980"/>
    <n v="3055.9199999999983"/>
    <n v="0.16943521594684377"/>
    <d v="2013-10-01T00:00:00"/>
    <n v="10"/>
    <x v="7"/>
    <x v="1"/>
  </r>
  <r>
    <s v="Government"/>
    <x v="0"/>
    <x v="1"/>
    <s v="Germany"/>
    <x v="0"/>
    <s v="High"/>
    <n v="280"/>
    <n v="3"/>
    <n v="7"/>
    <n v="1960"/>
    <n v="274.39999999999998"/>
    <n v="1685.6"/>
    <n v="1400"/>
    <n v="285.59999999999991"/>
    <n v="0.1694352159468438"/>
    <d v="2014-12-01T00:00:00"/>
    <n v="12"/>
    <x v="2"/>
    <x v="0"/>
  </r>
  <r>
    <s v="Government"/>
    <x v="0"/>
    <x v="2"/>
    <s v="France"/>
    <x v="1"/>
    <s v="High"/>
    <n v="293"/>
    <n v="5"/>
    <n v="7"/>
    <n v="2051"/>
    <n v="287.14"/>
    <n v="1763.8600000000001"/>
    <n v="1465"/>
    <n v="298.86000000000013"/>
    <n v="0.16943521594684391"/>
    <d v="2014-02-01T00:00:00"/>
    <n v="2"/>
    <x v="8"/>
    <x v="0"/>
  </r>
  <r>
    <s v="Government"/>
    <x v="0"/>
    <x v="4"/>
    <s v="Usa"/>
    <x v="1"/>
    <s v="High"/>
    <n v="2996"/>
    <n v="5"/>
    <n v="7"/>
    <n v="20972"/>
    <n v="2936.08"/>
    <n v="18035.919999999998"/>
    <n v="14980"/>
    <n v="3055.9199999999983"/>
    <n v="0.16943521594684377"/>
    <d v="2013-10-01T00:00:00"/>
    <n v="10"/>
    <x v="7"/>
    <x v="1"/>
  </r>
  <r>
    <s v="Midmarket"/>
    <x v="1"/>
    <x v="1"/>
    <s v="Germany"/>
    <x v="2"/>
    <s v="High"/>
    <n v="278"/>
    <n v="10"/>
    <n v="15"/>
    <n v="4170"/>
    <n v="583.79999999999995"/>
    <n v="3586.2"/>
    <n v="2780"/>
    <n v="806.19999999999982"/>
    <n v="0.22480620155038755"/>
    <d v="2014-02-01T00:00:00"/>
    <n v="2"/>
    <x v="8"/>
    <x v="0"/>
  </r>
  <r>
    <s v="Government"/>
    <x v="0"/>
    <x v="0"/>
    <s v="Canada"/>
    <x v="2"/>
    <s v="High"/>
    <n v="2428"/>
    <n v="10"/>
    <n v="20"/>
    <n v="48560"/>
    <n v="6798.4"/>
    <n v="41761.599999999999"/>
    <n v="24280"/>
    <n v="17481.599999999999"/>
    <n v="0.41860465116279066"/>
    <d v="2014-03-01T00:00:00"/>
    <n v="3"/>
    <x v="3"/>
    <x v="0"/>
  </r>
  <r>
    <s v="Midmarket"/>
    <x v="1"/>
    <x v="4"/>
    <s v="Usa"/>
    <x v="2"/>
    <s v="High"/>
    <n v="1767"/>
    <n v="10"/>
    <n v="15"/>
    <n v="26505"/>
    <n v="3710.7"/>
    <n v="22794.3"/>
    <n v="17670"/>
    <n v="5124.2999999999993"/>
    <n v="0.22480620155038758"/>
    <d v="2014-09-01T00:00:00"/>
    <n v="9"/>
    <x v="6"/>
    <x v="0"/>
  </r>
  <r>
    <s v="Channel Partners"/>
    <x v="2"/>
    <x v="2"/>
    <s v="France"/>
    <x v="2"/>
    <s v="High"/>
    <n v="1393"/>
    <n v="10"/>
    <n v="12"/>
    <n v="16716"/>
    <n v="2340.2399999999998"/>
    <n v="14375.76"/>
    <n v="4179"/>
    <n v="10196.76"/>
    <n v="0.70930232558139539"/>
    <d v="2014-10-01T00:00:00"/>
    <n v="10"/>
    <x v="7"/>
    <x v="0"/>
  </r>
  <r>
    <s v="Government"/>
    <x v="0"/>
    <x v="1"/>
    <s v="Germany"/>
    <x v="4"/>
    <s v="High"/>
    <n v="280"/>
    <n v="250"/>
    <n v="7"/>
    <n v="1960"/>
    <n v="274.39999999999998"/>
    <n v="1685.6"/>
    <n v="1400"/>
    <n v="285.59999999999991"/>
    <n v="0.1694352159468438"/>
    <d v="2014-12-01T00:00:00"/>
    <n v="12"/>
    <x v="2"/>
    <x v="0"/>
  </r>
  <r>
    <s v="Channel Partners"/>
    <x v="2"/>
    <x v="2"/>
    <s v="France"/>
    <x v="5"/>
    <s v="High"/>
    <n v="1393"/>
    <n v="260"/>
    <n v="12"/>
    <n v="16716"/>
    <n v="2340.2399999999998"/>
    <n v="14375.76"/>
    <n v="4179"/>
    <n v="10196.76"/>
    <n v="0.70930232558139539"/>
    <d v="2014-10-01T00:00:00"/>
    <n v="10"/>
    <x v="7"/>
    <x v="0"/>
  </r>
  <r>
    <s v="Channel Partners"/>
    <x v="2"/>
    <x v="4"/>
    <s v="Usa"/>
    <x v="5"/>
    <s v="High"/>
    <n v="2015"/>
    <n v="260"/>
    <n v="12"/>
    <n v="24180"/>
    <n v="3385.2"/>
    <n v="20794.8"/>
    <n v="6045"/>
    <n v="14749.8"/>
    <n v="0.70930232558139539"/>
    <d v="2013-12-01T00:00:00"/>
    <n v="12"/>
    <x v="2"/>
    <x v="1"/>
  </r>
  <r>
    <s v="small business"/>
    <x v="4"/>
    <x v="3"/>
    <s v="Mexico"/>
    <x v="0"/>
    <s v="High"/>
    <n v="801"/>
    <n v="3"/>
    <n v="300"/>
    <n v="240300"/>
    <n v="33642"/>
    <n v="206658"/>
    <n v="200250"/>
    <n v="6408"/>
    <n v="3.1007751937984496E-2"/>
    <d v="2014-07-01T00:00:00"/>
    <n v="7"/>
    <x v="4"/>
    <x v="0"/>
  </r>
  <r>
    <s v="Enterprise"/>
    <x v="3"/>
    <x v="2"/>
    <s v="France"/>
    <x v="0"/>
    <s v="High"/>
    <n v="1023"/>
    <n v="3"/>
    <n v="125"/>
    <n v="127875"/>
    <n v="17902.5"/>
    <n v="109972.5"/>
    <n v="122760"/>
    <n v="-12787.5"/>
    <n v="-0.11627906976744186"/>
    <d v="2013-09-01T00:00:00"/>
    <n v="9"/>
    <x v="6"/>
    <x v="1"/>
  </r>
  <r>
    <s v="small business"/>
    <x v="4"/>
    <x v="0"/>
    <s v="Canada"/>
    <x v="0"/>
    <s v="High"/>
    <n v="1496"/>
    <n v="3"/>
    <n v="300"/>
    <n v="448800"/>
    <n v="62832"/>
    <n v="385968"/>
    <n v="374000"/>
    <n v="11968"/>
    <n v="3.1007751937984496E-2"/>
    <d v="2014-10-01T00:00:00"/>
    <n v="10"/>
    <x v="7"/>
    <x v="0"/>
  </r>
  <r>
    <s v="small business"/>
    <x v="4"/>
    <x v="4"/>
    <s v="Usa"/>
    <x v="0"/>
    <s v="High"/>
    <n v="1010"/>
    <n v="3"/>
    <n v="300"/>
    <n v="303000"/>
    <n v="42420"/>
    <n v="260580"/>
    <n v="252500"/>
    <n v="8080"/>
    <n v="3.1007751937984496E-2"/>
    <d v="2014-10-01T00:00:00"/>
    <n v="10"/>
    <x v="7"/>
    <x v="0"/>
  </r>
  <r>
    <s v="Midmarket"/>
    <x v="1"/>
    <x v="1"/>
    <s v="Germany"/>
    <x v="0"/>
    <s v="High"/>
    <n v="1513"/>
    <n v="3"/>
    <n v="15"/>
    <n v="22695"/>
    <n v="3177.3"/>
    <n v="19517.7"/>
    <n v="15130"/>
    <n v="4387.7000000000007"/>
    <n v="0.22480620155038764"/>
    <d v="2014-11-01T00:00:00"/>
    <n v="11"/>
    <x v="9"/>
    <x v="0"/>
  </r>
  <r>
    <s v="Midmarket"/>
    <x v="1"/>
    <x v="0"/>
    <s v="Canada"/>
    <x v="0"/>
    <s v="High"/>
    <n v="2300"/>
    <n v="3"/>
    <n v="15"/>
    <n v="34500"/>
    <n v="4830"/>
    <n v="29670"/>
    <n v="23000"/>
    <n v="6670"/>
    <n v="0.22480620155038761"/>
    <d v="2014-12-01T00:00:00"/>
    <n v="12"/>
    <x v="2"/>
    <x v="0"/>
  </r>
  <r>
    <s v="Enterprise"/>
    <x v="3"/>
    <x v="3"/>
    <s v="Mexico"/>
    <x v="0"/>
    <s v="High"/>
    <n v="2821"/>
    <n v="3"/>
    <n v="125"/>
    <n v="352625"/>
    <n v="49367.5"/>
    <n v="303257.5"/>
    <n v="338520"/>
    <n v="-35262.5"/>
    <n v="-0.11627906976744186"/>
    <d v="2013-12-01T00:00:00"/>
    <n v="12"/>
    <x v="2"/>
    <x v="1"/>
  </r>
  <r>
    <s v="Government"/>
    <x v="0"/>
    <x v="0"/>
    <s v="Canada"/>
    <x v="1"/>
    <s v="High"/>
    <n v="2227.5"/>
    <n v="5"/>
    <n v="350"/>
    <n v="779625"/>
    <n v="109147.5"/>
    <n v="670477.5"/>
    <n v="579150"/>
    <n v="91327.5"/>
    <n v="0.13621262458471761"/>
    <d v="2014-01-01T00:00:00"/>
    <n v="1"/>
    <x v="0"/>
    <x v="0"/>
  </r>
  <r>
    <s v="Government"/>
    <x v="0"/>
    <x v="1"/>
    <s v="Germany"/>
    <x v="1"/>
    <s v="High"/>
    <n v="1199"/>
    <n v="5"/>
    <n v="350"/>
    <n v="419650"/>
    <n v="58751"/>
    <n v="360899"/>
    <n v="311740"/>
    <n v="49159"/>
    <n v="0.13621262458471761"/>
    <d v="2014-04-01T00:00:00"/>
    <n v="4"/>
    <x v="10"/>
    <x v="0"/>
  </r>
  <r>
    <s v="Government"/>
    <x v="0"/>
    <x v="0"/>
    <s v="Canada"/>
    <x v="1"/>
    <s v="High"/>
    <n v="200"/>
    <n v="5"/>
    <n v="350"/>
    <n v="70000"/>
    <n v="9800"/>
    <n v="60200"/>
    <n v="52000"/>
    <n v="8200"/>
    <n v="0.13621262458471761"/>
    <d v="2014-05-01T00:00:00"/>
    <n v="5"/>
    <x v="11"/>
    <x v="0"/>
  </r>
  <r>
    <s v="Government"/>
    <x v="0"/>
    <x v="0"/>
    <s v="Canada"/>
    <x v="1"/>
    <s v="High"/>
    <n v="388"/>
    <n v="5"/>
    <n v="7"/>
    <n v="2716"/>
    <n v="380.24"/>
    <n v="2335.7600000000002"/>
    <n v="1940"/>
    <n v="395.76000000000022"/>
    <n v="0.16943521594684394"/>
    <d v="2014-09-01T00:00:00"/>
    <n v="9"/>
    <x v="6"/>
    <x v="0"/>
  </r>
  <r>
    <s v="Government"/>
    <x v="0"/>
    <x v="3"/>
    <s v="Mexico"/>
    <x v="1"/>
    <s v="High"/>
    <n v="1727"/>
    <n v="5"/>
    <n v="7"/>
    <n v="12089"/>
    <n v="1692.46"/>
    <n v="10396.540000000001"/>
    <n v="8635"/>
    <n v="1761.5400000000009"/>
    <n v="0.16943521594684394"/>
    <d v="2013-10-01T00:00:00"/>
    <n v="10"/>
    <x v="7"/>
    <x v="1"/>
  </r>
  <r>
    <s v="Midmarket"/>
    <x v="1"/>
    <x v="0"/>
    <s v="Canada"/>
    <x v="1"/>
    <s v="High"/>
    <n v="2300"/>
    <n v="5"/>
    <n v="15"/>
    <n v="34500"/>
    <n v="4830"/>
    <n v="29670"/>
    <n v="23000"/>
    <n v="6670"/>
    <n v="0.22480620155038761"/>
    <d v="2014-12-01T00:00:00"/>
    <n v="12"/>
    <x v="2"/>
    <x v="0"/>
  </r>
  <r>
    <s v="Government"/>
    <x v="0"/>
    <x v="3"/>
    <s v="Mexico"/>
    <x v="2"/>
    <s v="High"/>
    <n v="260"/>
    <n v="10"/>
    <n v="20"/>
    <n v="5200"/>
    <n v="728"/>
    <n v="4472"/>
    <n v="2600"/>
    <n v="1872"/>
    <n v="0.41860465116279072"/>
    <d v="2014-02-01T00:00:00"/>
    <n v="2"/>
    <x v="8"/>
    <x v="0"/>
  </r>
  <r>
    <s v="Midmarket"/>
    <x v="1"/>
    <x v="0"/>
    <s v="Canada"/>
    <x v="2"/>
    <s v="High"/>
    <n v="2470"/>
    <n v="10"/>
    <n v="15"/>
    <n v="37050"/>
    <n v="5187"/>
    <n v="31863"/>
    <n v="24700"/>
    <n v="7163"/>
    <n v="0.22480620155038761"/>
    <d v="2013-09-01T00:00:00"/>
    <n v="9"/>
    <x v="6"/>
    <x v="1"/>
  </r>
  <r>
    <s v="Midmarket"/>
    <x v="1"/>
    <x v="0"/>
    <s v="Canada"/>
    <x v="2"/>
    <s v="High"/>
    <n v="1743"/>
    <n v="10"/>
    <n v="15"/>
    <n v="26145"/>
    <n v="3660.3"/>
    <n v="22484.7"/>
    <n v="17430"/>
    <n v="5054.7000000000007"/>
    <n v="0.22480620155038764"/>
    <d v="2013-10-01T00:00:00"/>
    <n v="10"/>
    <x v="7"/>
    <x v="1"/>
  </r>
  <r>
    <s v="Channel Partners"/>
    <x v="2"/>
    <x v="4"/>
    <s v="Usa"/>
    <x v="2"/>
    <s v="High"/>
    <n v="2914"/>
    <n v="10"/>
    <n v="12"/>
    <n v="34968"/>
    <n v="4895.5200000000004"/>
    <n v="30072.48"/>
    <n v="8742"/>
    <n v="21330.48"/>
    <n v="0.70930232558139539"/>
    <d v="2014-10-01T00:00:00"/>
    <n v="10"/>
    <x v="7"/>
    <x v="0"/>
  </r>
  <r>
    <s v="Government"/>
    <x v="0"/>
    <x v="2"/>
    <s v="France"/>
    <x v="2"/>
    <s v="High"/>
    <n v="1731"/>
    <n v="10"/>
    <n v="7"/>
    <n v="12117"/>
    <n v="1696.38"/>
    <n v="10420.619999999999"/>
    <n v="8655"/>
    <n v="1765.619999999999"/>
    <n v="0.16943521594684377"/>
    <d v="2014-10-01T00:00:00"/>
    <n v="10"/>
    <x v="7"/>
    <x v="0"/>
  </r>
  <r>
    <s v="Government"/>
    <x v="0"/>
    <x v="0"/>
    <s v="Canada"/>
    <x v="2"/>
    <s v="High"/>
    <n v="700"/>
    <n v="10"/>
    <n v="350"/>
    <n v="245000"/>
    <n v="34300"/>
    <n v="210700"/>
    <n v="182000"/>
    <n v="28700"/>
    <n v="0.13621262458471761"/>
    <d v="2014-11-01T00:00:00"/>
    <n v="11"/>
    <x v="9"/>
    <x v="0"/>
  </r>
  <r>
    <s v="Channel Partners"/>
    <x v="2"/>
    <x v="0"/>
    <s v="Canada"/>
    <x v="2"/>
    <s v="High"/>
    <n v="2222"/>
    <n v="10"/>
    <n v="12"/>
    <n v="26664"/>
    <n v="3732.96"/>
    <n v="22931.040000000001"/>
    <n v="6666"/>
    <n v="16265.04"/>
    <n v="0.70930232558139539"/>
    <d v="2013-11-01T00:00:00"/>
    <n v="11"/>
    <x v="9"/>
    <x v="1"/>
  </r>
  <r>
    <s v="Government"/>
    <x v="0"/>
    <x v="4"/>
    <s v="Usa"/>
    <x v="2"/>
    <s v="High"/>
    <n v="1177"/>
    <n v="10"/>
    <n v="350"/>
    <n v="411950"/>
    <n v="57673"/>
    <n v="354277"/>
    <n v="306020"/>
    <n v="48257"/>
    <n v="0.13621262458471761"/>
    <d v="2014-11-01T00:00:00"/>
    <n v="11"/>
    <x v="9"/>
    <x v="0"/>
  </r>
  <r>
    <s v="Government"/>
    <x v="0"/>
    <x v="2"/>
    <s v="France"/>
    <x v="2"/>
    <s v="High"/>
    <n v="1922"/>
    <n v="10"/>
    <n v="350"/>
    <n v="672700"/>
    <n v="94178"/>
    <n v="578522"/>
    <n v="499720"/>
    <n v="78802"/>
    <n v="0.13621262458471761"/>
    <d v="2013-11-01T00:00:00"/>
    <n v="11"/>
    <x v="9"/>
    <x v="1"/>
  </r>
  <r>
    <s v="Enterprise"/>
    <x v="3"/>
    <x v="3"/>
    <s v="Mexico"/>
    <x v="3"/>
    <s v="High"/>
    <n v="1575"/>
    <n v="120"/>
    <n v="125"/>
    <n v="196875"/>
    <n v="27562.5"/>
    <n v="169312.5"/>
    <n v="189000"/>
    <n v="-19687.5"/>
    <n v="-0.11627906976744186"/>
    <d v="2014-02-01T00:00:00"/>
    <n v="2"/>
    <x v="8"/>
    <x v="0"/>
  </r>
  <r>
    <s v="Government"/>
    <x v="0"/>
    <x v="4"/>
    <s v="Usa"/>
    <x v="3"/>
    <s v="High"/>
    <n v="606"/>
    <n v="120"/>
    <n v="20"/>
    <n v="12120"/>
    <n v="1696.8000000000002"/>
    <n v="10423.200000000001"/>
    <n v="6060"/>
    <n v="4363.2000000000007"/>
    <n v="0.41860465116279072"/>
    <d v="2014-04-01T00:00:00"/>
    <n v="4"/>
    <x v="10"/>
    <x v="0"/>
  </r>
  <r>
    <s v="small business"/>
    <x v="4"/>
    <x v="4"/>
    <s v="Usa"/>
    <x v="3"/>
    <s v="High"/>
    <n v="2460"/>
    <n v="120"/>
    <n v="300"/>
    <n v="738000"/>
    <n v="103320"/>
    <n v="634680"/>
    <n v="615000"/>
    <n v="19680"/>
    <n v="3.1007751937984496E-2"/>
    <d v="2014-07-01T00:00:00"/>
    <n v="7"/>
    <x v="4"/>
    <x v="0"/>
  </r>
  <r>
    <s v="small business"/>
    <x v="4"/>
    <x v="0"/>
    <s v="Canada"/>
    <x v="3"/>
    <s v="High"/>
    <n v="269"/>
    <n v="120"/>
    <n v="300"/>
    <n v="80700"/>
    <n v="11298"/>
    <n v="69402"/>
    <n v="67250"/>
    <n v="2152"/>
    <n v="3.1007751937984496E-2"/>
    <d v="2013-10-01T00:00:00"/>
    <n v="10"/>
    <x v="7"/>
    <x v="1"/>
  </r>
  <r>
    <s v="small business"/>
    <x v="4"/>
    <x v="1"/>
    <s v="Germany"/>
    <x v="3"/>
    <s v="High"/>
    <n v="2536"/>
    <n v="120"/>
    <n v="300"/>
    <n v="760800"/>
    <n v="106512"/>
    <n v="654288"/>
    <n v="634000"/>
    <n v="20288"/>
    <n v="3.1007751937984496E-2"/>
    <d v="2013-11-01T00:00:00"/>
    <n v="11"/>
    <x v="9"/>
    <x v="1"/>
  </r>
  <r>
    <s v="Government"/>
    <x v="0"/>
    <x v="3"/>
    <s v="Mexico"/>
    <x v="4"/>
    <s v="High"/>
    <n v="2903"/>
    <n v="250"/>
    <n v="7"/>
    <n v="20321"/>
    <n v="2844.94"/>
    <n v="17476.060000000001"/>
    <n v="14515"/>
    <n v="2961.0600000000013"/>
    <n v="0.16943521594684391"/>
    <d v="2014-03-01T00:00:00"/>
    <n v="3"/>
    <x v="3"/>
    <x v="0"/>
  </r>
  <r>
    <s v="small business"/>
    <x v="4"/>
    <x v="4"/>
    <s v="Usa"/>
    <x v="4"/>
    <s v="High"/>
    <n v="2541"/>
    <n v="250"/>
    <n v="300"/>
    <n v="762300"/>
    <n v="106722"/>
    <n v="655578"/>
    <n v="635250"/>
    <n v="20328"/>
    <n v="3.1007751937984496E-2"/>
    <d v="2014-08-01T00:00:00"/>
    <n v="8"/>
    <x v="5"/>
    <x v="0"/>
  </r>
  <r>
    <s v="small business"/>
    <x v="4"/>
    <x v="0"/>
    <s v="Canada"/>
    <x v="4"/>
    <s v="High"/>
    <n v="269"/>
    <n v="250"/>
    <n v="300"/>
    <n v="80700"/>
    <n v="11298"/>
    <n v="69402"/>
    <n v="67250"/>
    <n v="2152"/>
    <n v="3.1007751937984496E-2"/>
    <d v="2013-10-01T00:00:00"/>
    <n v="10"/>
    <x v="7"/>
    <x v="1"/>
  </r>
  <r>
    <s v="small business"/>
    <x v="4"/>
    <x v="0"/>
    <s v="Canada"/>
    <x v="4"/>
    <s v="High"/>
    <n v="1496"/>
    <n v="250"/>
    <n v="300"/>
    <n v="448800"/>
    <n v="62832"/>
    <n v="385968"/>
    <n v="374000"/>
    <n v="11968"/>
    <n v="3.1007751937984496E-2"/>
    <d v="2014-10-01T00:00:00"/>
    <n v="10"/>
    <x v="7"/>
    <x v="0"/>
  </r>
  <r>
    <s v="small business"/>
    <x v="4"/>
    <x v="4"/>
    <s v="Usa"/>
    <x v="4"/>
    <s v="High"/>
    <n v="1010"/>
    <n v="250"/>
    <n v="300"/>
    <n v="303000"/>
    <n v="42420"/>
    <n v="260580"/>
    <n v="252500"/>
    <n v="8080"/>
    <n v="3.1007751937984496E-2"/>
    <d v="2014-10-01T00:00:00"/>
    <n v="10"/>
    <x v="7"/>
    <x v="0"/>
  </r>
  <r>
    <s v="Government"/>
    <x v="0"/>
    <x v="2"/>
    <s v="France"/>
    <x v="4"/>
    <s v="High"/>
    <n v="1281"/>
    <n v="250"/>
    <n v="350"/>
    <n v="448350"/>
    <n v="62769"/>
    <n v="385581"/>
    <n v="333060"/>
    <n v="52521"/>
    <n v="0.13621262458471761"/>
    <d v="2013-12-01T00:00:00"/>
    <n v="12"/>
    <x v="2"/>
    <x v="1"/>
  </r>
  <r>
    <s v="small business"/>
    <x v="4"/>
    <x v="0"/>
    <s v="Canada"/>
    <x v="5"/>
    <s v="High"/>
    <n v="888"/>
    <n v="260"/>
    <n v="300"/>
    <n v="266400"/>
    <n v="37296"/>
    <n v="229104"/>
    <n v="222000"/>
    <n v="7104"/>
    <n v="3.1007751937984496E-2"/>
    <d v="2014-03-01T00:00:00"/>
    <n v="3"/>
    <x v="3"/>
    <x v="0"/>
  </r>
  <r>
    <s v="Enterprise"/>
    <x v="3"/>
    <x v="4"/>
    <s v="Usa"/>
    <x v="5"/>
    <s v="High"/>
    <n v="2844"/>
    <n v="260"/>
    <n v="125"/>
    <n v="355500"/>
    <n v="49770"/>
    <n v="305730"/>
    <n v="341280"/>
    <n v="-35550"/>
    <n v="-0.11627906976744186"/>
    <d v="2014-05-01T00:00:00"/>
    <n v="5"/>
    <x v="11"/>
    <x v="0"/>
  </r>
  <r>
    <s v="Channel Partners"/>
    <x v="2"/>
    <x v="2"/>
    <s v="France"/>
    <x v="5"/>
    <s v="High"/>
    <n v="2475"/>
    <n v="260"/>
    <n v="12"/>
    <n v="29700"/>
    <n v="4158"/>
    <n v="25542"/>
    <n v="7425"/>
    <n v="18117"/>
    <n v="0.70930232558139539"/>
    <d v="2014-08-01T00:00:00"/>
    <n v="8"/>
    <x v="5"/>
    <x v="0"/>
  </r>
  <r>
    <s v="Midmarket"/>
    <x v="1"/>
    <x v="0"/>
    <s v="Canada"/>
    <x v="5"/>
    <s v="High"/>
    <n v="1743"/>
    <n v="260"/>
    <n v="15"/>
    <n v="26145"/>
    <n v="3660.3"/>
    <n v="22484.7"/>
    <n v="17430"/>
    <n v="5054.7000000000007"/>
    <n v="0.22480620155038764"/>
    <d v="2013-10-01T00:00:00"/>
    <n v="10"/>
    <x v="7"/>
    <x v="1"/>
  </r>
  <r>
    <s v="Channel Partners"/>
    <x v="2"/>
    <x v="4"/>
    <s v="Usa"/>
    <x v="5"/>
    <s v="High"/>
    <n v="2914"/>
    <n v="260"/>
    <n v="12"/>
    <n v="34968"/>
    <n v="4895.5200000000004"/>
    <n v="30072.48"/>
    <n v="8742"/>
    <n v="21330.48"/>
    <n v="0.70930232558139539"/>
    <d v="2014-10-01T00:00:00"/>
    <n v="10"/>
    <x v="7"/>
    <x v="0"/>
  </r>
  <r>
    <s v="Government"/>
    <x v="0"/>
    <x v="2"/>
    <s v="France"/>
    <x v="5"/>
    <s v="High"/>
    <n v="1731"/>
    <n v="260"/>
    <n v="7"/>
    <n v="12117"/>
    <n v="1696.38"/>
    <n v="10420.619999999999"/>
    <n v="8655"/>
    <n v="1765.619999999999"/>
    <n v="0.16943521594684377"/>
    <d v="2014-10-01T00:00:00"/>
    <n v="10"/>
    <x v="7"/>
    <x v="0"/>
  </r>
  <r>
    <s v="Government"/>
    <x v="0"/>
    <x v="3"/>
    <s v="Mexico"/>
    <x v="5"/>
    <s v="High"/>
    <n v="1727"/>
    <n v="260"/>
    <n v="7"/>
    <n v="12089"/>
    <n v="1692.46"/>
    <n v="10396.540000000001"/>
    <n v="8635"/>
    <n v="1761.5400000000009"/>
    <n v="0.16943521594684394"/>
    <d v="2013-10-01T00:00:00"/>
    <n v="10"/>
    <x v="7"/>
    <x v="1"/>
  </r>
  <r>
    <s v="Midmarket"/>
    <x v="1"/>
    <x v="3"/>
    <s v="Mexico"/>
    <x v="5"/>
    <s v="High"/>
    <n v="1870"/>
    <n v="260"/>
    <n v="15"/>
    <n v="28050"/>
    <n v="3927"/>
    <n v="24123"/>
    <n v="18700"/>
    <n v="5423"/>
    <n v="0.22480620155038761"/>
    <d v="2013-11-01T00:00:00"/>
    <n v="11"/>
    <x v="9"/>
    <x v="1"/>
  </r>
  <r>
    <s v="Enterprise"/>
    <x v="3"/>
    <x v="2"/>
    <s v="France"/>
    <x v="0"/>
    <s v="High"/>
    <n v="1174"/>
    <n v="3"/>
    <n v="125"/>
    <n v="146750"/>
    <n v="22012.5"/>
    <n v="124737.5"/>
    <n v="140880"/>
    <n v="-16142.5"/>
    <n v="-0.12941176470588237"/>
    <d v="2014-08-01T00:00:00"/>
    <n v="8"/>
    <x v="5"/>
    <x v="0"/>
  </r>
  <r>
    <s v="Enterprise"/>
    <x v="3"/>
    <x v="1"/>
    <s v="Germany"/>
    <x v="0"/>
    <s v="High"/>
    <n v="2767"/>
    <n v="3"/>
    <n v="125"/>
    <n v="345875"/>
    <n v="51881.25"/>
    <n v="293993.75"/>
    <n v="332040"/>
    <n v="-38046.25"/>
    <n v="-0.12941176470588237"/>
    <d v="2014-08-01T00:00:00"/>
    <n v="8"/>
    <x v="5"/>
    <x v="0"/>
  </r>
  <r>
    <s v="Enterprise"/>
    <x v="3"/>
    <x v="1"/>
    <s v="Germany"/>
    <x v="0"/>
    <s v="High"/>
    <n v="1085"/>
    <n v="3"/>
    <n v="125"/>
    <n v="135625"/>
    <n v="20343.75"/>
    <n v="115281.25"/>
    <n v="130200"/>
    <n v="-14918.75"/>
    <n v="-0.12941176470588237"/>
    <d v="2014-10-01T00:00:00"/>
    <n v="10"/>
    <x v="7"/>
    <x v="0"/>
  </r>
  <r>
    <s v="small business"/>
    <x v="4"/>
    <x v="3"/>
    <s v="Mexico"/>
    <x v="1"/>
    <s v="High"/>
    <n v="546"/>
    <n v="5"/>
    <n v="300"/>
    <n v="163800"/>
    <n v="24570"/>
    <n v="139230"/>
    <n v="136500"/>
    <n v="2730"/>
    <n v="1.9607843137254902E-2"/>
    <d v="2014-10-01T00:00:00"/>
    <n v="10"/>
    <x v="7"/>
    <x v="0"/>
  </r>
  <r>
    <s v="Government"/>
    <x v="0"/>
    <x v="1"/>
    <s v="Germany"/>
    <x v="2"/>
    <s v="High"/>
    <n v="1158"/>
    <n v="10"/>
    <n v="20"/>
    <n v="23160"/>
    <n v="3474"/>
    <n v="19686"/>
    <n v="11580"/>
    <n v="8106"/>
    <n v="0.41176470588235292"/>
    <d v="2014-03-01T00:00:00"/>
    <n v="3"/>
    <x v="3"/>
    <x v="0"/>
  </r>
  <r>
    <s v="Midmarket"/>
    <x v="1"/>
    <x v="0"/>
    <s v="Canada"/>
    <x v="2"/>
    <s v="High"/>
    <n v="1614"/>
    <n v="10"/>
    <n v="15"/>
    <n v="24210"/>
    <n v="3631.5"/>
    <n v="20578.5"/>
    <n v="16140"/>
    <n v="4438.5"/>
    <n v="0.21568627450980393"/>
    <d v="2014-04-01T00:00:00"/>
    <n v="4"/>
    <x v="10"/>
    <x v="0"/>
  </r>
  <r>
    <s v="Government"/>
    <x v="0"/>
    <x v="3"/>
    <s v="Mexico"/>
    <x v="2"/>
    <s v="High"/>
    <n v="2535"/>
    <n v="10"/>
    <n v="7"/>
    <n v="17745"/>
    <n v="2661.75"/>
    <n v="15083.25"/>
    <n v="12675"/>
    <n v="2408.25"/>
    <n v="0.15966386554621848"/>
    <d v="2014-04-01T00:00:00"/>
    <n v="4"/>
    <x v="10"/>
    <x v="0"/>
  </r>
  <r>
    <s v="Government"/>
    <x v="0"/>
    <x v="3"/>
    <s v="Mexico"/>
    <x v="2"/>
    <s v="High"/>
    <n v="2851"/>
    <n v="10"/>
    <n v="350"/>
    <n v="997850"/>
    <n v="149677.5"/>
    <n v="848172.5"/>
    <n v="741260"/>
    <n v="106912.5"/>
    <n v="0.12605042016806722"/>
    <d v="2014-05-01T00:00:00"/>
    <n v="5"/>
    <x v="11"/>
    <x v="0"/>
  </r>
  <r>
    <s v="Midmarket"/>
    <x v="1"/>
    <x v="0"/>
    <s v="Canada"/>
    <x v="2"/>
    <s v="High"/>
    <n v="2559"/>
    <n v="10"/>
    <n v="15"/>
    <n v="38385"/>
    <n v="5757.75"/>
    <n v="32627.25"/>
    <n v="25590"/>
    <n v="7037.25"/>
    <n v="0.21568627450980393"/>
    <d v="2014-08-01T00:00:00"/>
    <n v="8"/>
    <x v="5"/>
    <x v="0"/>
  </r>
  <r>
    <s v="Government"/>
    <x v="0"/>
    <x v="4"/>
    <s v="Usa"/>
    <x v="2"/>
    <s v="High"/>
    <n v="267"/>
    <n v="10"/>
    <n v="20"/>
    <n v="5340"/>
    <n v="801"/>
    <n v="4539"/>
    <n v="2670"/>
    <n v="1869"/>
    <n v="0.41176470588235292"/>
    <d v="2013-10-01T00:00:00"/>
    <n v="10"/>
    <x v="7"/>
    <x v="1"/>
  </r>
  <r>
    <s v="Enterprise"/>
    <x v="3"/>
    <x v="1"/>
    <s v="Germany"/>
    <x v="2"/>
    <s v="High"/>
    <n v="1085"/>
    <n v="10"/>
    <n v="125"/>
    <n v="135625"/>
    <n v="20343.75"/>
    <n v="115281.25"/>
    <n v="130200"/>
    <n v="-14918.75"/>
    <n v="-0.12941176470588237"/>
    <d v="2014-10-01T00:00:00"/>
    <n v="10"/>
    <x v="7"/>
    <x v="0"/>
  </r>
  <r>
    <s v="Midmarket"/>
    <x v="1"/>
    <x v="1"/>
    <s v="Germany"/>
    <x v="2"/>
    <s v="High"/>
    <n v="1175"/>
    <n v="10"/>
    <n v="15"/>
    <n v="17625"/>
    <n v="2643.75"/>
    <n v="14981.25"/>
    <n v="11750"/>
    <n v="3231.25"/>
    <n v="0.21568627450980393"/>
    <d v="2014-10-01T00:00:00"/>
    <n v="10"/>
    <x v="7"/>
    <x v="0"/>
  </r>
  <r>
    <s v="Government"/>
    <x v="0"/>
    <x v="4"/>
    <s v="Usa"/>
    <x v="2"/>
    <s v="High"/>
    <n v="2007"/>
    <n v="10"/>
    <n v="350"/>
    <n v="702450"/>
    <n v="105367.5"/>
    <n v="597082.5"/>
    <n v="521820"/>
    <n v="75262.5"/>
    <n v="0.12605042016806722"/>
    <d v="2013-11-01T00:00:00"/>
    <n v="11"/>
    <x v="9"/>
    <x v="1"/>
  </r>
  <r>
    <s v="Government"/>
    <x v="0"/>
    <x v="3"/>
    <s v="Mexico"/>
    <x v="2"/>
    <s v="High"/>
    <n v="2151"/>
    <n v="10"/>
    <n v="350"/>
    <n v="752850"/>
    <n v="112927.5"/>
    <n v="639922.5"/>
    <n v="559260"/>
    <n v="80662.5"/>
    <n v="0.12605042016806722"/>
    <d v="2013-11-01T00:00:00"/>
    <n v="11"/>
    <x v="9"/>
    <x v="1"/>
  </r>
  <r>
    <s v="Channel Partners"/>
    <x v="2"/>
    <x v="4"/>
    <s v="Usa"/>
    <x v="2"/>
    <s v="High"/>
    <n v="914"/>
    <n v="10"/>
    <n v="12"/>
    <n v="10968"/>
    <n v="1645.2"/>
    <n v="9322.7999999999993"/>
    <n v="2742"/>
    <n v="6580.7999999999993"/>
    <n v="0.70588235294117641"/>
    <d v="2014-12-01T00:00:00"/>
    <n v="12"/>
    <x v="2"/>
    <x v="0"/>
  </r>
  <r>
    <s v="Government"/>
    <x v="0"/>
    <x v="2"/>
    <s v="France"/>
    <x v="2"/>
    <s v="High"/>
    <n v="293"/>
    <n v="10"/>
    <n v="20"/>
    <n v="5860"/>
    <n v="879"/>
    <n v="4981"/>
    <n v="2930"/>
    <n v="2051"/>
    <n v="0.41176470588235292"/>
    <d v="2014-12-01T00:00:00"/>
    <n v="12"/>
    <x v="2"/>
    <x v="0"/>
  </r>
  <r>
    <s v="Channel Partners"/>
    <x v="2"/>
    <x v="3"/>
    <s v="Mexico"/>
    <x v="3"/>
    <s v="High"/>
    <n v="500"/>
    <n v="120"/>
    <n v="12"/>
    <n v="6000"/>
    <n v="900"/>
    <n v="5100"/>
    <n v="1500"/>
    <n v="3600"/>
    <n v="0.70588235294117652"/>
    <d v="2014-03-01T00:00:00"/>
    <n v="3"/>
    <x v="3"/>
    <x v="0"/>
  </r>
  <r>
    <s v="Midmarket"/>
    <x v="1"/>
    <x v="2"/>
    <s v="France"/>
    <x v="3"/>
    <s v="High"/>
    <n v="2826"/>
    <n v="120"/>
    <n v="15"/>
    <n v="42390"/>
    <n v="6358.5"/>
    <n v="36031.5"/>
    <n v="28260"/>
    <n v="7771.5"/>
    <n v="0.21568627450980393"/>
    <d v="2014-05-01T00:00:00"/>
    <n v="5"/>
    <x v="11"/>
    <x v="0"/>
  </r>
  <r>
    <s v="Enterprise"/>
    <x v="3"/>
    <x v="2"/>
    <s v="France"/>
    <x v="3"/>
    <s v="High"/>
    <n v="663"/>
    <n v="120"/>
    <n v="125"/>
    <n v="82875"/>
    <n v="12431.25"/>
    <n v="70443.75"/>
    <n v="79560"/>
    <n v="-9116.25"/>
    <n v="-0.12941176470588237"/>
    <d v="2014-09-01T00:00:00"/>
    <n v="9"/>
    <x v="6"/>
    <x v="0"/>
  </r>
  <r>
    <s v="small business"/>
    <x v="4"/>
    <x v="4"/>
    <s v="Usa"/>
    <x v="3"/>
    <s v="High"/>
    <n v="2574"/>
    <n v="120"/>
    <n v="300"/>
    <n v="772200"/>
    <n v="115830"/>
    <n v="656370"/>
    <n v="643500"/>
    <n v="12870"/>
    <n v="1.9607843137254902E-2"/>
    <d v="2013-11-01T00:00:00"/>
    <n v="11"/>
    <x v="9"/>
    <x v="1"/>
  </r>
  <r>
    <s v="Enterprise"/>
    <x v="3"/>
    <x v="4"/>
    <s v="Usa"/>
    <x v="3"/>
    <s v="High"/>
    <n v="2438"/>
    <n v="120"/>
    <n v="125"/>
    <n v="304750"/>
    <n v="45712.5"/>
    <n v="259037.5"/>
    <n v="292560"/>
    <n v="-33522.5"/>
    <n v="-0.12941176470588237"/>
    <d v="2013-12-01T00:00:00"/>
    <n v="12"/>
    <x v="2"/>
    <x v="1"/>
  </r>
  <r>
    <s v="Channel Partners"/>
    <x v="2"/>
    <x v="4"/>
    <s v="Usa"/>
    <x v="3"/>
    <s v="High"/>
    <n v="914"/>
    <n v="120"/>
    <n v="12"/>
    <n v="10968"/>
    <n v="1645.2"/>
    <n v="9322.7999999999993"/>
    <n v="2742"/>
    <n v="6580.7999999999993"/>
    <n v="0.70588235294117641"/>
    <d v="2014-12-01T00:00:00"/>
    <n v="12"/>
    <x v="2"/>
    <x v="0"/>
  </r>
  <r>
    <s v="Government"/>
    <x v="0"/>
    <x v="0"/>
    <s v="Canada"/>
    <x v="4"/>
    <s v="High"/>
    <n v="865.5"/>
    <n v="250"/>
    <n v="20"/>
    <n v="17310"/>
    <n v="2596.5"/>
    <n v="14713.5"/>
    <n v="8655"/>
    <n v="6058.5"/>
    <n v="0.41176470588235292"/>
    <d v="2014-07-01T00:00:00"/>
    <n v="7"/>
    <x v="4"/>
    <x v="0"/>
  </r>
  <r>
    <s v="Midmarket"/>
    <x v="1"/>
    <x v="1"/>
    <s v="Germany"/>
    <x v="4"/>
    <s v="High"/>
    <n v="492"/>
    <n v="250"/>
    <n v="15"/>
    <n v="7380"/>
    <n v="1107"/>
    <n v="6273"/>
    <n v="4920"/>
    <n v="1353"/>
    <n v="0.21568627450980393"/>
    <d v="2014-07-01T00:00:00"/>
    <n v="7"/>
    <x v="4"/>
    <x v="0"/>
  </r>
  <r>
    <s v="Government"/>
    <x v="0"/>
    <x v="4"/>
    <s v="Usa"/>
    <x v="4"/>
    <s v="High"/>
    <n v="267"/>
    <n v="250"/>
    <n v="20"/>
    <n v="5340"/>
    <n v="801"/>
    <n v="4539"/>
    <n v="2670"/>
    <n v="1869"/>
    <n v="0.41176470588235292"/>
    <d v="2013-10-01T00:00:00"/>
    <n v="10"/>
    <x v="7"/>
    <x v="1"/>
  </r>
  <r>
    <s v="Midmarket"/>
    <x v="1"/>
    <x v="1"/>
    <s v="Germany"/>
    <x v="4"/>
    <s v="High"/>
    <n v="1175"/>
    <n v="250"/>
    <n v="15"/>
    <n v="17625"/>
    <n v="2643.75"/>
    <n v="14981.25"/>
    <n v="11750"/>
    <n v="3231.25"/>
    <n v="0.21568627450980393"/>
    <d v="2014-10-01T00:00:00"/>
    <n v="10"/>
    <x v="7"/>
    <x v="0"/>
  </r>
  <r>
    <s v="Enterprise"/>
    <x v="3"/>
    <x v="0"/>
    <s v="Canada"/>
    <x v="4"/>
    <s v="High"/>
    <n v="2954"/>
    <n v="250"/>
    <n v="125"/>
    <n v="369250"/>
    <n v="55387.5"/>
    <n v="313862.5"/>
    <n v="354480"/>
    <n v="-40617.5"/>
    <n v="-0.12941176470588237"/>
    <d v="2013-11-01T00:00:00"/>
    <n v="11"/>
    <x v="9"/>
    <x v="1"/>
  </r>
  <r>
    <s v="Enterprise"/>
    <x v="3"/>
    <x v="1"/>
    <s v="Germany"/>
    <x v="4"/>
    <s v="High"/>
    <n v="552"/>
    <n v="250"/>
    <n v="125"/>
    <n v="69000"/>
    <n v="10350"/>
    <n v="58650"/>
    <n v="66240"/>
    <n v="-7590"/>
    <n v="-0.12941176470588237"/>
    <d v="2014-11-01T00:00:00"/>
    <n v="11"/>
    <x v="9"/>
    <x v="0"/>
  </r>
  <r>
    <s v="Government"/>
    <x v="0"/>
    <x v="2"/>
    <s v="France"/>
    <x v="4"/>
    <s v="High"/>
    <n v="293"/>
    <n v="250"/>
    <n v="20"/>
    <n v="5860"/>
    <n v="879"/>
    <n v="4981"/>
    <n v="2930"/>
    <n v="2051"/>
    <n v="0.41176470588235292"/>
    <d v="2014-12-01T00:00:00"/>
    <n v="12"/>
    <x v="2"/>
    <x v="0"/>
  </r>
  <r>
    <s v="small business"/>
    <x v="4"/>
    <x v="2"/>
    <s v="France"/>
    <x v="5"/>
    <s v="High"/>
    <n v="2475"/>
    <n v="260"/>
    <n v="300"/>
    <n v="742500"/>
    <n v="111375"/>
    <n v="631125"/>
    <n v="618750"/>
    <n v="12375"/>
    <n v="1.9607843137254902E-2"/>
    <d v="2014-03-01T00:00:00"/>
    <n v="3"/>
    <x v="3"/>
    <x v="0"/>
  </r>
  <r>
    <s v="small business"/>
    <x v="4"/>
    <x v="3"/>
    <s v="Mexico"/>
    <x v="5"/>
    <s v="High"/>
    <n v="546"/>
    <n v="260"/>
    <n v="300"/>
    <n v="163800"/>
    <n v="24570"/>
    <n v="139230"/>
    <n v="136500"/>
    <n v="2730"/>
    <n v="1.9607843137254902E-2"/>
    <d v="2014-10-01T00:00:00"/>
    <n v="10"/>
    <x v="7"/>
    <x v="0"/>
  </r>
  <r>
    <s v="Government"/>
    <x v="0"/>
    <x v="3"/>
    <s v="Mexico"/>
    <x v="1"/>
    <s v="High"/>
    <n v="1368"/>
    <n v="5"/>
    <n v="7"/>
    <n v="9576"/>
    <n v="1436.4"/>
    <n v="8139.6"/>
    <n v="6840"/>
    <n v="1299.6000000000004"/>
    <n v="0.15966386554621853"/>
    <d v="2014-02-01T00:00:00"/>
    <n v="2"/>
    <x v="8"/>
    <x v="0"/>
  </r>
  <r>
    <s v="Government"/>
    <x v="0"/>
    <x v="0"/>
    <s v="Canada"/>
    <x v="2"/>
    <s v="High"/>
    <n v="723"/>
    <n v="10"/>
    <n v="7"/>
    <n v="5061"/>
    <n v="759.15000000000009"/>
    <n v="4301.8500000000004"/>
    <n v="3615"/>
    <n v="686.85000000000036"/>
    <n v="0.15966386554621856"/>
    <d v="2014-04-01T00:00:00"/>
    <n v="4"/>
    <x v="10"/>
    <x v="0"/>
  </r>
  <r>
    <s v="Channel Partners"/>
    <x v="2"/>
    <x v="4"/>
    <s v="Usa"/>
    <x v="4"/>
    <s v="High"/>
    <n v="1806"/>
    <n v="250"/>
    <n v="12"/>
    <n v="21672"/>
    <n v="3250.8"/>
    <n v="18421.2"/>
    <n v="5418"/>
    <n v="13003.2"/>
    <n v="0.70588235294117652"/>
    <d v="2014-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9E3F45-F907-4549-8F43-54D28F288A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1:D27" firstHeaderRow="0" firstDataRow="1" firstDataCol="1"/>
  <pivotFields count="19">
    <pivotField showAll="0"/>
    <pivotField axis="axisRow" showAll="0">
      <items count="6">
        <item x="2"/>
        <item x="3"/>
        <item x="0"/>
        <item x="1"/>
        <item x="4"/>
        <item t="default"/>
      </items>
    </pivotField>
    <pivotField showAll="0">
      <items count="6">
        <item x="0"/>
        <item x="2"/>
        <item x="1"/>
        <item x="3"/>
        <item x="4"/>
        <item t="default"/>
      </items>
    </pivotField>
    <pivotField showAll="0"/>
    <pivotField showAll="0">
      <items count="7">
        <item x="5"/>
        <item x="0"/>
        <item x="1"/>
        <item x="2"/>
        <item x="3"/>
        <item x="4"/>
        <item t="default"/>
      </items>
    </pivotField>
    <pivotField showAll="0"/>
    <pivotField numFmtId="43" showAll="0"/>
    <pivotField numFmtId="164" showAll="0"/>
    <pivotField numFmtId="164" showAll="0"/>
    <pivotField numFmtId="164" showAll="0"/>
    <pivotField numFmtId="164" showAll="0"/>
    <pivotField dataField="1" numFmtId="164" showAll="0"/>
    <pivotField dataField="1" numFmtId="164" showAll="0"/>
    <pivotField numFmtId="164" showAll="0"/>
    <pivotField numFmtId="9"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Fields count="1">
    <field x="-2"/>
  </colFields>
  <colItems count="2">
    <i>
      <x/>
    </i>
    <i i="1">
      <x v="1"/>
    </i>
  </colItems>
  <dataFields count="2">
    <dataField name="Sum of  Sales" fld="11" baseField="0" baseItem="0" numFmtId="164"/>
    <dataField name="Sum of COGS" fld="12" baseField="0" baseItem="0" numFmtId="164"/>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6C2B5A-6D92-40B6-9298-698335362A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I16" firstHeaderRow="0" firstDataRow="1" firstDataCol="1"/>
  <pivotFields count="19">
    <pivotField showAll="0"/>
    <pivotField showAll="0">
      <items count="6">
        <item x="2"/>
        <item x="3"/>
        <item x="0"/>
        <item x="1"/>
        <item x="4"/>
        <item t="default"/>
      </items>
    </pivotField>
    <pivotField showAll="0">
      <items count="6">
        <item x="0"/>
        <item x="2"/>
        <item x="1"/>
        <item x="3"/>
        <item x="4"/>
        <item t="default"/>
      </items>
    </pivotField>
    <pivotField showAll="0"/>
    <pivotField showAll="0">
      <items count="7">
        <item x="5"/>
        <item x="0"/>
        <item x="1"/>
        <item x="2"/>
        <item x="3"/>
        <item x="4"/>
        <item t="default"/>
      </items>
    </pivotField>
    <pivotField showAll="0"/>
    <pivotField numFmtId="43" showAll="0"/>
    <pivotField numFmtId="164" showAll="0"/>
    <pivotField numFmtId="164" showAll="0"/>
    <pivotField numFmtId="164" showAll="0"/>
    <pivotField numFmtId="164" showAll="0"/>
    <pivotField dataField="1" numFmtId="164" showAll="0"/>
    <pivotField dataField="1" numFmtId="164" showAll="0"/>
    <pivotField numFmtId="164" showAll="0"/>
    <pivotField numFmtId="9" showAll="0"/>
    <pivotField numFmtId="14" showAll="0"/>
    <pivotField numFmtId="1" showAll="0"/>
    <pivotField axis="axisRow" showAll="0">
      <items count="13">
        <item x="0"/>
        <item x="8"/>
        <item x="3"/>
        <item x="10"/>
        <item x="11"/>
        <item x="1"/>
        <item x="4"/>
        <item x="5"/>
        <item x="6"/>
        <item x="7"/>
        <item x="9"/>
        <item x="2"/>
        <item t="default"/>
      </items>
    </pivotField>
    <pivotField showAll="0">
      <items count="3">
        <item x="1"/>
        <item x="0"/>
        <item t="default"/>
      </items>
    </pivotField>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1" baseField="0" baseItem="0" numFmtId="164"/>
    <dataField name="Sum of COGS" fld="12" baseField="0" baseItem="0" numFmtId="164"/>
  </dataFields>
  <chartFormats count="28">
    <chartFormat chart="3"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17" count="1" selected="0">
            <x v="9"/>
          </reference>
        </references>
      </pivotArea>
    </chartFormat>
    <chartFormat chart="3" format="9">
      <pivotArea type="data" outline="0" fieldPosition="0">
        <references count="2">
          <reference field="4294967294" count="1" selected="0">
            <x v="1"/>
          </reference>
          <reference field="17" count="1" selected="0">
            <x v="8"/>
          </reference>
        </references>
      </pivotArea>
    </chartFormat>
    <chartFormat chart="3" format="10">
      <pivotArea type="data" outline="0" fieldPosition="0">
        <references count="2">
          <reference field="4294967294" count="1" selected="0">
            <x v="1"/>
          </reference>
          <reference field="17" count="1" selected="0">
            <x v="7"/>
          </reference>
        </references>
      </pivotArea>
    </chartFormat>
    <chartFormat chart="3" format="11">
      <pivotArea type="data" outline="0" fieldPosition="0">
        <references count="2">
          <reference field="4294967294" count="1" selected="0">
            <x v="1"/>
          </reference>
          <reference field="17" count="1" selected="0">
            <x v="6"/>
          </reference>
        </references>
      </pivotArea>
    </chartFormat>
    <chartFormat chart="3" format="12">
      <pivotArea type="data" outline="0" fieldPosition="0">
        <references count="2">
          <reference field="4294967294" count="1" selected="0">
            <x v="1"/>
          </reference>
          <reference field="17" count="1" selected="0">
            <x v="5"/>
          </reference>
        </references>
      </pivotArea>
    </chartFormat>
    <chartFormat chart="3" format="13">
      <pivotArea type="data" outline="0" fieldPosition="0">
        <references count="2">
          <reference field="4294967294" count="1" selected="0">
            <x v="1"/>
          </reference>
          <reference field="17" count="1" selected="0">
            <x v="4"/>
          </reference>
        </references>
      </pivotArea>
    </chartFormat>
    <chartFormat chart="3" format="14">
      <pivotArea type="data" outline="0" fieldPosition="0">
        <references count="2">
          <reference field="4294967294" count="1" selected="0">
            <x v="1"/>
          </reference>
          <reference field="17" count="1" selected="0">
            <x v="3"/>
          </reference>
        </references>
      </pivotArea>
    </chartFormat>
    <chartFormat chart="3" format="15">
      <pivotArea type="data" outline="0" fieldPosition="0">
        <references count="2">
          <reference field="4294967294" count="1" selected="0">
            <x v="1"/>
          </reference>
          <reference field="17" count="1" selected="0">
            <x v="2"/>
          </reference>
        </references>
      </pivotArea>
    </chartFormat>
    <chartFormat chart="3" format="16">
      <pivotArea type="data" outline="0" fieldPosition="0">
        <references count="2">
          <reference field="4294967294" count="1" selected="0">
            <x v="1"/>
          </reference>
          <reference field="17" count="1" selected="0">
            <x v="1"/>
          </reference>
        </references>
      </pivotArea>
    </chartFormat>
    <chartFormat chart="3" format="17">
      <pivotArea type="data" outline="0" fieldPosition="0">
        <references count="2">
          <reference field="4294967294" count="1" selected="0">
            <x v="1"/>
          </reference>
          <reference field="17" count="1" selected="0">
            <x v="0"/>
          </reference>
        </references>
      </pivotArea>
    </chartFormat>
    <chartFormat chart="3" format="18">
      <pivotArea type="data" outline="0" fieldPosition="0">
        <references count="2">
          <reference field="4294967294" count="1" selected="0">
            <x v="1"/>
          </reference>
          <reference field="17" count="1" selected="0">
            <x v="10"/>
          </reference>
        </references>
      </pivotArea>
    </chartFormat>
    <chartFormat chart="3" format="19">
      <pivotArea type="data" outline="0" fieldPosition="0">
        <references count="2">
          <reference field="4294967294" count="1" selected="0">
            <x v="1"/>
          </reference>
          <reference field="17" count="1" selected="0">
            <x v="11"/>
          </reference>
        </references>
      </pivotArea>
    </chartFormat>
    <chartFormat chart="8" format="34" series="1">
      <pivotArea type="data" outline="0" fieldPosition="0">
        <references count="1">
          <reference field="4294967294" count="1" selected="0">
            <x v="0"/>
          </reference>
        </references>
      </pivotArea>
    </chartFormat>
    <chartFormat chart="8" format="35" series="1">
      <pivotArea type="data" outline="0" fieldPosition="0">
        <references count="1">
          <reference field="4294967294" count="1" selected="0">
            <x v="1"/>
          </reference>
        </references>
      </pivotArea>
    </chartFormat>
    <chartFormat chart="8" format="36">
      <pivotArea type="data" outline="0" fieldPosition="0">
        <references count="2">
          <reference field="4294967294" count="1" selected="0">
            <x v="1"/>
          </reference>
          <reference field="17" count="1" selected="0">
            <x v="0"/>
          </reference>
        </references>
      </pivotArea>
    </chartFormat>
    <chartFormat chart="8" format="37">
      <pivotArea type="data" outline="0" fieldPosition="0">
        <references count="2">
          <reference field="4294967294" count="1" selected="0">
            <x v="1"/>
          </reference>
          <reference field="17" count="1" selected="0">
            <x v="1"/>
          </reference>
        </references>
      </pivotArea>
    </chartFormat>
    <chartFormat chart="8" format="38">
      <pivotArea type="data" outline="0" fieldPosition="0">
        <references count="2">
          <reference field="4294967294" count="1" selected="0">
            <x v="1"/>
          </reference>
          <reference field="17" count="1" selected="0">
            <x v="2"/>
          </reference>
        </references>
      </pivotArea>
    </chartFormat>
    <chartFormat chart="8" format="39">
      <pivotArea type="data" outline="0" fieldPosition="0">
        <references count="2">
          <reference field="4294967294" count="1" selected="0">
            <x v="1"/>
          </reference>
          <reference field="17" count="1" selected="0">
            <x v="3"/>
          </reference>
        </references>
      </pivotArea>
    </chartFormat>
    <chartFormat chart="8" format="40">
      <pivotArea type="data" outline="0" fieldPosition="0">
        <references count="2">
          <reference field="4294967294" count="1" selected="0">
            <x v="1"/>
          </reference>
          <reference field="17" count="1" selected="0">
            <x v="4"/>
          </reference>
        </references>
      </pivotArea>
    </chartFormat>
    <chartFormat chart="8" format="41">
      <pivotArea type="data" outline="0" fieldPosition="0">
        <references count="2">
          <reference field="4294967294" count="1" selected="0">
            <x v="1"/>
          </reference>
          <reference field="17" count="1" selected="0">
            <x v="5"/>
          </reference>
        </references>
      </pivotArea>
    </chartFormat>
    <chartFormat chart="8" format="42">
      <pivotArea type="data" outline="0" fieldPosition="0">
        <references count="2">
          <reference field="4294967294" count="1" selected="0">
            <x v="1"/>
          </reference>
          <reference field="17" count="1" selected="0">
            <x v="6"/>
          </reference>
        </references>
      </pivotArea>
    </chartFormat>
    <chartFormat chart="8" format="43">
      <pivotArea type="data" outline="0" fieldPosition="0">
        <references count="2">
          <reference field="4294967294" count="1" selected="0">
            <x v="1"/>
          </reference>
          <reference field="17" count="1" selected="0">
            <x v="7"/>
          </reference>
        </references>
      </pivotArea>
    </chartFormat>
    <chartFormat chart="8" format="44">
      <pivotArea type="data" outline="0" fieldPosition="0">
        <references count="2">
          <reference field="4294967294" count="1" selected="0">
            <x v="1"/>
          </reference>
          <reference field="17" count="1" selected="0">
            <x v="8"/>
          </reference>
        </references>
      </pivotArea>
    </chartFormat>
    <chartFormat chart="8" format="45">
      <pivotArea type="data" outline="0" fieldPosition="0">
        <references count="2">
          <reference field="4294967294" count="1" selected="0">
            <x v="1"/>
          </reference>
          <reference field="17" count="1" selected="0">
            <x v="9"/>
          </reference>
        </references>
      </pivotArea>
    </chartFormat>
    <chartFormat chart="8" format="46">
      <pivotArea type="data" outline="0" fieldPosition="0">
        <references count="2">
          <reference field="4294967294" count="1" selected="0">
            <x v="1"/>
          </reference>
          <reference field="17" count="1" selected="0">
            <x v="10"/>
          </reference>
        </references>
      </pivotArea>
    </chartFormat>
    <chartFormat chart="8" format="47">
      <pivotArea type="data" outline="0" fieldPosition="0">
        <references count="2">
          <reference field="4294967294" count="1" selected="0">
            <x v="1"/>
          </reference>
          <reference field="1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F3151D-F4E6-4A42-8546-A1EE3ABBDBB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12:D18" firstHeaderRow="0" firstDataRow="1" firstDataCol="1"/>
  <pivotFields count="19">
    <pivotField showAll="0"/>
    <pivotField showAll="0">
      <items count="6">
        <item x="2"/>
        <item x="3"/>
        <item x="0"/>
        <item x="1"/>
        <item x="4"/>
        <item t="default"/>
      </items>
    </pivotField>
    <pivotField axis="axisRow" showAll="0">
      <items count="6">
        <item x="0"/>
        <item x="2"/>
        <item x="1"/>
        <item x="3"/>
        <item x="4"/>
        <item t="default"/>
      </items>
    </pivotField>
    <pivotField showAll="0"/>
    <pivotField showAll="0">
      <items count="7">
        <item x="5"/>
        <item x="0"/>
        <item x="1"/>
        <item x="2"/>
        <item x="3"/>
        <item x="4"/>
        <item t="default"/>
      </items>
    </pivotField>
    <pivotField showAll="0"/>
    <pivotField numFmtId="43" showAll="0"/>
    <pivotField numFmtId="164" showAll="0"/>
    <pivotField numFmtId="164" showAll="0"/>
    <pivotField numFmtId="164" showAll="0"/>
    <pivotField numFmtId="164" showAll="0"/>
    <pivotField dataField="1" numFmtId="164" showAll="0"/>
    <pivotField dataField="1" numFmtId="164" showAll="0"/>
    <pivotField numFmtId="164" showAll="0"/>
    <pivotField numFmtId="9" showAll="0"/>
    <pivotField numFmtId="14" showAll="0"/>
    <pivotField numFmtId="1" showAll="0"/>
    <pivotField showAll="0"/>
    <pivotField showAll="0">
      <items count="3">
        <item x="1"/>
        <item x="0"/>
        <item t="default"/>
      </items>
    </pivotField>
  </pivotFields>
  <rowFields count="1">
    <field x="2"/>
  </rowFields>
  <rowItems count="6">
    <i>
      <x/>
    </i>
    <i>
      <x v="1"/>
    </i>
    <i>
      <x v="2"/>
    </i>
    <i>
      <x v="3"/>
    </i>
    <i>
      <x v="4"/>
    </i>
    <i t="grand">
      <x/>
    </i>
  </rowItems>
  <colFields count="1">
    <field x="-2"/>
  </colFields>
  <colItems count="2">
    <i>
      <x/>
    </i>
    <i i="1">
      <x v="1"/>
    </i>
  </colItems>
  <dataFields count="2">
    <dataField name="Sum of  Sales" fld="11" baseField="0" baseItem="0" numFmtId="164"/>
    <dataField name="Sum of COGS" fld="12"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DB7917-4A27-4446-BB60-6E37CF6004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D9" firstHeaderRow="0" firstDataRow="1" firstDataCol="1"/>
  <pivotFields count="19">
    <pivotField showAll="0"/>
    <pivotField showAll="0">
      <items count="6">
        <item x="2"/>
        <item x="3"/>
        <item x="0"/>
        <item x="1"/>
        <item x="4"/>
        <item t="default"/>
      </items>
    </pivotField>
    <pivotField showAll="0">
      <items count="6">
        <item x="0"/>
        <item x="2"/>
        <item x="1"/>
        <item x="3"/>
        <item x="4"/>
        <item t="default"/>
      </items>
    </pivotField>
    <pivotField showAll="0"/>
    <pivotField axis="axisRow" showAll="0">
      <items count="7">
        <item x="5"/>
        <item x="0"/>
        <item x="1"/>
        <item x="2"/>
        <item x="3"/>
        <item x="4"/>
        <item t="default"/>
      </items>
    </pivotField>
    <pivotField showAll="0"/>
    <pivotField numFmtId="43" showAll="0"/>
    <pivotField numFmtId="164" showAll="0"/>
    <pivotField numFmtId="164" showAll="0"/>
    <pivotField numFmtId="164" showAll="0"/>
    <pivotField numFmtId="164" showAll="0"/>
    <pivotField dataField="1" numFmtId="164" showAll="0"/>
    <pivotField dataField="1" numFmtId="164" showAll="0"/>
    <pivotField numFmtId="164" showAll="0"/>
    <pivotField numFmtId="9" showAll="0"/>
    <pivotField numFmtId="14" showAll="0"/>
    <pivotField numFmtId="1" showAll="0"/>
    <pivotField showAll="0"/>
    <pivotField showAll="0">
      <items count="3">
        <item x="1"/>
        <item x="0"/>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Sum of  Sales" fld="11" baseField="0" baseItem="0" numFmtId="164"/>
    <dataField name="Sum of COGS" fld="12"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663BF20-6B41-46D3-8477-058C4D38C121}" sourceName="Product">
  <pivotTables>
    <pivotTable tabId="3" name="PivotTable1"/>
    <pivotTable tabId="3" name="PivotTable2"/>
    <pivotTable tabId="3" name="PivotTable3"/>
    <pivotTable tabId="3" name="PivotTable4"/>
  </pivotTables>
  <data>
    <tabular pivotCacheId="517406072">
      <items count="6">
        <i x="5" s="1"/>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CDA7081-7E5B-4360-94BB-EBAA1C0B875B}" sourceName="country">
  <pivotTables>
    <pivotTable tabId="3" name="PivotTable2"/>
    <pivotTable tabId="3" name="PivotTable1"/>
    <pivotTable tabId="3" name="PivotTable3"/>
    <pivotTable tabId="3" name="PivotTable4"/>
  </pivotTables>
  <data>
    <tabular pivotCacheId="517406072">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E43163-6CFB-417C-A5D0-1E258FF473C2}" sourceName="Year">
  <pivotTables>
    <pivotTable tabId="3" name="PivotTable4"/>
    <pivotTable tabId="3" name="PivotTable1"/>
    <pivotTable tabId="3" name="PivotTable2"/>
    <pivotTable tabId="3" name="PivotTable3"/>
  </pivotTables>
  <data>
    <tabular pivotCacheId="51740607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__Clean" xr10:uid="{9CBBE4CB-B5F8-4A99-ACB9-BDCAF5C8ED14}" sourceName="Segment (Clean)">
  <pivotTables>
    <pivotTable tabId="3" name="PivotTable3"/>
    <pivotTable tabId="3" name="PivotTable1"/>
    <pivotTable tabId="3" name="PivotTable2"/>
    <pivotTable tabId="3" name="PivotTable4"/>
  </pivotTables>
  <data>
    <tabular pivotCacheId="517406072">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441C0542-68BA-4F0C-9BD2-5C7347A6B3D8}" cache="Slicer_Product" caption="Product" rowHeight="225425"/>
  <slicer name="country 1" xr10:uid="{B43BFFED-80FD-4C18-A347-6203BE63EAA8}" cache="Slicer_country" caption="country" rowHeight="225425"/>
  <slicer name="Year" xr10:uid="{71C53E46-47B3-4313-BDC3-3493DEC44B27}" cache="Slicer_Year" caption="Year" rowHeight="225425"/>
  <slicer name="Segment (Clean) 1" xr10:uid="{930131EE-436C-4CD4-98BF-0E5DA473FD4D}" cache="Slicer_Segment__Clean" caption="Segment (Clean)"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E8924CF-40F3-4AF6-897F-14C39AE7813D}" cache="Slicer_Product" caption="Product" rowHeight="225425"/>
  <slicer name="country" xr10:uid="{4B7E1A41-B7B6-4D14-8377-0F1EC8E7645A}" cache="Slicer_country" caption="country" rowHeight="225425"/>
  <slicer name="Year 1" xr10:uid="{64C0720E-81FF-4F82-BDF4-C44CEE456BEC}" cache="Slicer_Year" caption="Year" rowHeight="225425"/>
  <slicer name="Segment (Clean)" xr10:uid="{93A3CB70-58BA-44B8-8BFF-E675D4612D10}" cache="Slicer_Segment__Clean" caption="Segment (Clean)"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298934-B13F-4860-AEC9-69622A74B29D}" name="Table1" displayName="Table1" ref="A1:S701" totalsRowShown="0" dataDxfId="20">
  <autoFilter ref="A1:S701" xr:uid="{B1298934-B13F-4860-AEC9-69622A74B29D}"/>
  <tableColumns count="19">
    <tableColumn id="1" xr3:uid="{83103175-ED1A-43D9-AB3B-F0CA159B746F}" name="segment" dataDxfId="19"/>
    <tableColumn id="2" xr3:uid="{F7726FC0-298A-4888-B689-52F9221F9A32}" name="Segment (Clean)" dataDxfId="18">
      <calculatedColumnFormula>PROPER(A2)</calculatedColumnFormula>
    </tableColumn>
    <tableColumn id="3" xr3:uid="{F1FB073B-CCE3-4D82-83BE-03C9E70753FA}" name="Country" dataDxfId="17"/>
    <tableColumn id="4" xr3:uid="{34AB3626-D614-4FB2-BF22-D778A814E025}" name="Country (Clean)" dataDxfId="16">
      <calculatedColumnFormula>PROPER(Table1[[#This Row],[Country]])</calculatedColumnFormula>
    </tableColumn>
    <tableColumn id="5" xr3:uid="{BEBF21DE-54FD-4C32-9A6D-4C4F02312002}" name="Product" dataDxfId="15"/>
    <tableColumn id="6" xr3:uid="{CEC0161E-3EF3-444B-82FA-C82B9475B020}" name="Discount Band" dataDxfId="14"/>
    <tableColumn id="7" xr3:uid="{7EC2DDEB-7FFD-4E06-9702-A67945D6AD02}" name="Units Sold" dataDxfId="13" dataCellStyle="Comma"/>
    <tableColumn id="8" xr3:uid="{B6FF8913-C43F-4223-810A-AEF823D06C53}" name="Manufacturing Price" dataDxfId="12"/>
    <tableColumn id="9" xr3:uid="{641208B0-FC3B-47BD-87A9-893F13D69428}" name="Sale Price" dataDxfId="11"/>
    <tableColumn id="10" xr3:uid="{E9EA5951-7B59-470C-A5F0-8F1F3912A8ED}" name="Gross Sales" dataDxfId="10">
      <calculatedColumnFormula>G2*I2</calculatedColumnFormula>
    </tableColumn>
    <tableColumn id="11" xr3:uid="{CA07478A-F387-497E-ACD9-2ACE0EBA12A4}" name="Discounts" dataDxfId="9"/>
    <tableColumn id="12" xr3:uid="{865A8409-DE18-4004-951A-A86BCB55ECA6}" name=" Sales" dataDxfId="8">
      <calculatedColumnFormula>J2-K2</calculatedColumnFormula>
    </tableColumn>
    <tableColumn id="13" xr3:uid="{442B6897-33C4-46E4-8479-E1BFA9F4E873}" name="COGS" dataDxfId="7"/>
    <tableColumn id="14" xr3:uid="{8DD12FA1-B2E8-4872-B6E6-4D7782022A36}" name="Profit" dataDxfId="6">
      <calculatedColumnFormula>L2-M2</calculatedColumnFormula>
    </tableColumn>
    <tableColumn id="15" xr3:uid="{E3CBBF55-B2EC-410D-BE2E-8F2E4BDAF4D6}" name="Profit Margin" dataDxfId="5" dataCellStyle="Percent">
      <calculatedColumnFormula>N2/L2</calculatedColumnFormula>
    </tableColumn>
    <tableColumn id="16" xr3:uid="{6DAF9220-C131-4319-8CA8-E86E5F2BDDF7}" name="Date" dataDxfId="4"/>
    <tableColumn id="17" xr3:uid="{DA2E3E3C-75EC-4ACA-9FA9-80AB4DC092CA}" name="Month Number" dataDxfId="3">
      <calculatedColumnFormula>MONTH(P2)</calculatedColumnFormula>
    </tableColumn>
    <tableColumn id="18" xr3:uid="{66B9217D-7548-4012-91D0-D2C1F6306101}" name="Month Name" dataDxfId="2">
      <calculatedColumnFormula>TEXT(P2,"mmmm")</calculatedColumnFormula>
    </tableColumn>
    <tableColumn id="19" xr3:uid="{19FA6962-C589-4F15-B059-455B2C1C47F6}" name="Year"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34FF-461A-4DFE-9ACC-9AC0B17FFB96}">
  <dimension ref="A1:U2"/>
  <sheetViews>
    <sheetView showGridLines="0" workbookViewId="0">
      <selection sqref="A1:R1"/>
    </sheetView>
  </sheetViews>
  <sheetFormatPr defaultRowHeight="12.75" x14ac:dyDescent="0.2"/>
  <cols>
    <col min="1" max="1" width="14.5703125" customWidth="1"/>
    <col min="3" max="3" width="9.140625" customWidth="1"/>
    <col min="19" max="19" width="25.5703125" customWidth="1"/>
  </cols>
  <sheetData>
    <row r="1" spans="1:21" ht="39" customHeight="1" thickTop="1" thickBot="1" x14ac:dyDescent="0.25">
      <c r="A1" s="58" t="s">
        <v>72</v>
      </c>
      <c r="B1" s="59"/>
      <c r="C1" s="59"/>
      <c r="D1" s="59"/>
      <c r="E1" s="59"/>
      <c r="F1" s="59"/>
      <c r="G1" s="59"/>
      <c r="H1" s="59"/>
      <c r="I1" s="59"/>
      <c r="J1" s="59"/>
      <c r="K1" s="59"/>
      <c r="L1" s="59"/>
      <c r="M1" s="59"/>
      <c r="N1" s="59"/>
      <c r="O1" s="59"/>
      <c r="P1" s="59"/>
      <c r="Q1" s="59"/>
      <c r="R1" s="59"/>
      <c r="S1" s="49">
        <f ca="1">TODAY()</f>
        <v>46183</v>
      </c>
      <c r="T1" s="48"/>
      <c r="U1" s="47"/>
    </row>
    <row r="2" spans="1:21" ht="13.5" thickTop="1" x14ac:dyDescent="0.2"/>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39D1-88FC-496E-B743-0BEF6D2227C8}">
  <dimension ref="A1"/>
  <sheetViews>
    <sheetView workbookViewId="0">
      <selection activeCell="S17" sqref="S17"/>
    </sheetView>
  </sheetViews>
  <sheetFormatPr defaultRowHeight="12.7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B624-F6F4-4872-AA71-E5468EBAC6E5}">
  <dimension ref="B1:I27"/>
  <sheetViews>
    <sheetView workbookViewId="0">
      <selection activeCell="D3" sqref="D3"/>
    </sheetView>
  </sheetViews>
  <sheetFormatPr defaultRowHeight="12.75" x14ac:dyDescent="0.2"/>
  <cols>
    <col min="2" max="2" width="13.85546875" bestFit="1" customWidth="1"/>
    <col min="3" max="4" width="14.85546875" bestFit="1" customWidth="1"/>
    <col min="5" max="5" width="13.85546875" bestFit="1" customWidth="1"/>
    <col min="6" max="6" width="23.5703125" bestFit="1" customWidth="1"/>
    <col min="7" max="7" width="13.85546875" bestFit="1" customWidth="1"/>
    <col min="8" max="9" width="14.85546875" bestFit="1" customWidth="1"/>
    <col min="10" max="11" width="13.85546875" bestFit="1" customWidth="1"/>
    <col min="12" max="12" width="19" bestFit="1" customWidth="1"/>
    <col min="13" max="13" width="18.85546875" bestFit="1" customWidth="1"/>
  </cols>
  <sheetData>
    <row r="1" spans="2:9" x14ac:dyDescent="0.2">
      <c r="B1" s="64" t="s">
        <v>80</v>
      </c>
      <c r="C1" s="64"/>
      <c r="D1" s="64"/>
    </row>
    <row r="2" spans="2:9" x14ac:dyDescent="0.2">
      <c r="B2" s="44" t="s">
        <v>55</v>
      </c>
      <c r="C2" t="s">
        <v>57</v>
      </c>
      <c r="D2" t="s">
        <v>58</v>
      </c>
      <c r="G2" s="64" t="s">
        <v>83</v>
      </c>
      <c r="H2" s="64"/>
      <c r="I2" s="64"/>
    </row>
    <row r="3" spans="2:9" x14ac:dyDescent="0.2">
      <c r="B3" s="45" t="s">
        <v>32</v>
      </c>
      <c r="C3" s="46">
        <v>17747116.059999999</v>
      </c>
      <c r="D3" s="46">
        <v>14933012</v>
      </c>
      <c r="G3" s="44" t="s">
        <v>55</v>
      </c>
      <c r="H3" t="s">
        <v>57</v>
      </c>
      <c r="I3" t="s">
        <v>58</v>
      </c>
    </row>
    <row r="4" spans="2:9" x14ac:dyDescent="0.2">
      <c r="B4" s="45" t="s">
        <v>17</v>
      </c>
      <c r="C4" s="46">
        <v>13815307.885000004</v>
      </c>
      <c r="D4" s="46">
        <v>11988503</v>
      </c>
      <c r="G4" s="45" t="s">
        <v>59</v>
      </c>
      <c r="H4" s="46">
        <v>6607761.6800000006</v>
      </c>
      <c r="I4" s="46">
        <v>5793733</v>
      </c>
    </row>
    <row r="5" spans="2:9" x14ac:dyDescent="0.2">
      <c r="B5" s="45" t="s">
        <v>23</v>
      </c>
      <c r="C5" s="46">
        <v>15555917.382152077</v>
      </c>
      <c r="D5" s="46">
        <v>13417088.699570816</v>
      </c>
      <c r="G5" s="45" t="s">
        <v>60</v>
      </c>
      <c r="H5" s="46">
        <v>7326401.6855523679</v>
      </c>
      <c r="I5" s="46">
        <v>6148984</v>
      </c>
    </row>
    <row r="6" spans="2:9" x14ac:dyDescent="0.2">
      <c r="B6" s="45" t="s">
        <v>28</v>
      </c>
      <c r="C6" s="46">
        <v>33040014.245552376</v>
      </c>
      <c r="D6" s="46">
        <v>28213706</v>
      </c>
      <c r="G6" s="45" t="s">
        <v>61</v>
      </c>
      <c r="H6" s="46">
        <v>5586859.8699999992</v>
      </c>
      <c r="I6" s="46">
        <v>4916993</v>
      </c>
    </row>
    <row r="7" spans="2:9" x14ac:dyDescent="0.2">
      <c r="B7" s="45" t="s">
        <v>30</v>
      </c>
      <c r="C7" s="46">
        <v>18250059.465</v>
      </c>
      <c r="D7" s="46">
        <v>15944067</v>
      </c>
      <c r="G7" s="45" t="s">
        <v>62</v>
      </c>
      <c r="H7" s="46">
        <v>6964775.0700000003</v>
      </c>
      <c r="I7" s="46">
        <v>6034790.5</v>
      </c>
    </row>
    <row r="8" spans="2:9" x14ac:dyDescent="0.2">
      <c r="B8" s="45" t="s">
        <v>31</v>
      </c>
      <c r="C8" s="46">
        <v>20670333.486002881</v>
      </c>
      <c r="D8" s="46">
        <v>17477313</v>
      </c>
      <c r="G8" s="45" t="s">
        <v>63</v>
      </c>
      <c r="H8" s="46">
        <v>6210211.0600000005</v>
      </c>
      <c r="I8" s="46">
        <v>5381571</v>
      </c>
    </row>
    <row r="9" spans="2:9" x14ac:dyDescent="0.2">
      <c r="B9" s="45" t="s">
        <v>56</v>
      </c>
      <c r="C9" s="46">
        <v>119078748.52370733</v>
      </c>
      <c r="D9" s="46">
        <v>101973689.69957082</v>
      </c>
      <c r="G9" s="45" t="s">
        <v>64</v>
      </c>
      <c r="H9" s="46">
        <v>9842421.7881549541</v>
      </c>
      <c r="I9" s="46">
        <v>8186181.699570816</v>
      </c>
    </row>
    <row r="10" spans="2:9" x14ac:dyDescent="0.2">
      <c r="G10" s="45" t="s">
        <v>65</v>
      </c>
      <c r="H10" s="46">
        <v>8102920.1800000016</v>
      </c>
      <c r="I10" s="46">
        <v>7179054.5</v>
      </c>
    </row>
    <row r="11" spans="2:9" x14ac:dyDescent="0.2">
      <c r="B11" s="64" t="s">
        <v>81</v>
      </c>
      <c r="C11" s="64"/>
      <c r="D11" s="64"/>
      <c r="G11" s="45" t="s">
        <v>66</v>
      </c>
      <c r="H11" s="46">
        <v>5864622.4199999999</v>
      </c>
      <c r="I11" s="46">
        <v>5073556</v>
      </c>
    </row>
    <row r="12" spans="2:9" x14ac:dyDescent="0.2">
      <c r="B12" s="44" t="s">
        <v>55</v>
      </c>
      <c r="C12" t="s">
        <v>57</v>
      </c>
      <c r="D12" t="s">
        <v>58</v>
      </c>
      <c r="G12" s="45" t="s">
        <v>67</v>
      </c>
      <c r="H12" s="46">
        <v>10882697.270000003</v>
      </c>
      <c r="I12" s="46">
        <v>9095962</v>
      </c>
    </row>
    <row r="13" spans="2:9" x14ac:dyDescent="0.2">
      <c r="B13" s="45" t="s">
        <v>16</v>
      </c>
      <c r="C13" s="46">
        <v>24916525.180552371</v>
      </c>
      <c r="D13" s="46">
        <v>21358426</v>
      </c>
      <c r="G13" s="45" t="s">
        <v>68</v>
      </c>
      <c r="H13" s="46">
        <v>21671431.020000018</v>
      </c>
      <c r="I13" s="46">
        <v>18231650</v>
      </c>
    </row>
    <row r="14" spans="2:9" x14ac:dyDescent="0.2">
      <c r="B14" s="45" t="s">
        <v>21</v>
      </c>
      <c r="C14" s="46">
        <v>24505157.78215209</v>
      </c>
      <c r="D14" s="46">
        <v>20697048.199570816</v>
      </c>
      <c r="G14" s="45" t="s">
        <v>69</v>
      </c>
      <c r="H14" s="46">
        <v>12651417.499999998</v>
      </c>
      <c r="I14" s="46">
        <v>11281315</v>
      </c>
    </row>
    <row r="15" spans="2:9" x14ac:dyDescent="0.2">
      <c r="B15" s="45" t="s">
        <v>19</v>
      </c>
      <c r="C15" s="46">
        <v>23677883.286002893</v>
      </c>
      <c r="D15" s="46">
        <v>19842097</v>
      </c>
      <c r="G15" s="45" t="s">
        <v>70</v>
      </c>
      <c r="H15" s="46">
        <v>17367228.980000004</v>
      </c>
      <c r="I15" s="46">
        <v>14649899</v>
      </c>
    </row>
    <row r="16" spans="2:9" x14ac:dyDescent="0.2">
      <c r="B16" s="45" t="s">
        <v>22</v>
      </c>
      <c r="C16" s="46">
        <v>20949352.109999999</v>
      </c>
      <c r="D16" s="46">
        <v>18041829</v>
      </c>
      <c r="G16" s="45" t="s">
        <v>56</v>
      </c>
      <c r="H16" s="46">
        <v>119078748.52370735</v>
      </c>
      <c r="I16" s="46">
        <v>101973689.69957082</v>
      </c>
    </row>
    <row r="17" spans="2:5" x14ac:dyDescent="0.2">
      <c r="B17" s="45" t="s">
        <v>71</v>
      </c>
      <c r="C17" s="46">
        <v>25029830.165000014</v>
      </c>
      <c r="D17" s="46">
        <v>22034289.5</v>
      </c>
    </row>
    <row r="18" spans="2:5" x14ac:dyDescent="0.2">
      <c r="B18" s="45" t="s">
        <v>56</v>
      </c>
      <c r="C18" s="46">
        <v>119078748.52370736</v>
      </c>
      <c r="D18" s="46">
        <v>101973689.69957082</v>
      </c>
    </row>
    <row r="20" spans="2:5" x14ac:dyDescent="0.2">
      <c r="B20" s="64" t="s">
        <v>82</v>
      </c>
      <c r="C20" s="64"/>
      <c r="D20" s="64"/>
    </row>
    <row r="21" spans="2:5" x14ac:dyDescent="0.2">
      <c r="B21" s="44" t="s">
        <v>55</v>
      </c>
      <c r="C21" t="s">
        <v>57</v>
      </c>
      <c r="D21" t="s">
        <v>58</v>
      </c>
    </row>
    <row r="22" spans="2:5" x14ac:dyDescent="0.2">
      <c r="B22" s="45" t="s">
        <v>24</v>
      </c>
      <c r="C22" s="46">
        <v>1965709.1421520796</v>
      </c>
      <c r="D22" s="46">
        <v>624832.19957081543</v>
      </c>
      <c r="E22" s="14"/>
    </row>
    <row r="23" spans="2:5" x14ac:dyDescent="0.2">
      <c r="B23" s="45" t="s">
        <v>25</v>
      </c>
      <c r="C23" s="46">
        <v>19611694.375</v>
      </c>
      <c r="D23" s="46">
        <v>20226240</v>
      </c>
    </row>
    <row r="24" spans="2:5" x14ac:dyDescent="0.2">
      <c r="B24" s="45" t="s">
        <v>15</v>
      </c>
      <c r="C24" s="46">
        <v>52533130.965552405</v>
      </c>
      <c r="D24" s="46">
        <v>41116087.5</v>
      </c>
    </row>
    <row r="25" spans="2:5" x14ac:dyDescent="0.2">
      <c r="B25" s="45" t="s">
        <v>20</v>
      </c>
      <c r="C25" s="46">
        <v>2540295.541002878</v>
      </c>
      <c r="D25" s="46">
        <v>1721780</v>
      </c>
    </row>
    <row r="26" spans="2:5" x14ac:dyDescent="0.2">
      <c r="B26" s="45" t="s">
        <v>29</v>
      </c>
      <c r="C26" s="46">
        <v>42427918.5</v>
      </c>
      <c r="D26" s="46">
        <v>38284750</v>
      </c>
    </row>
    <row r="27" spans="2:5" x14ac:dyDescent="0.2">
      <c r="B27" s="45" t="s">
        <v>56</v>
      </c>
      <c r="C27" s="46">
        <v>119078748.52370737</v>
      </c>
      <c r="D27" s="46">
        <v>101973689.69957082</v>
      </c>
    </row>
  </sheetData>
  <mergeCells count="4">
    <mergeCell ref="B1:D1"/>
    <mergeCell ref="B11:D11"/>
    <mergeCell ref="B20:D20"/>
    <mergeCell ref="G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E7EB6-BC47-4112-8180-043DD740E8A4}">
  <dimension ref="A1"/>
  <sheetViews>
    <sheetView workbookViewId="0">
      <selection activeCell="K3" sqref="K3"/>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48BC-979E-45E6-9873-C4F604E1E37F}">
  <dimension ref="B1:R33"/>
  <sheetViews>
    <sheetView tabSelected="1" topLeftCell="F14" workbookViewId="0">
      <selection activeCell="L28" sqref="L28"/>
    </sheetView>
  </sheetViews>
  <sheetFormatPr defaultRowHeight="12.75" x14ac:dyDescent="0.2"/>
  <cols>
    <col min="2" max="2" width="16.5703125" bestFit="1" customWidth="1"/>
    <col min="3" max="3" width="12.85546875" bestFit="1" customWidth="1"/>
    <col min="5" max="5" width="22.5703125" bestFit="1" customWidth="1"/>
    <col min="6" max="6" width="10.28515625" bestFit="1" customWidth="1"/>
    <col min="8" max="8" width="16.5703125" bestFit="1" customWidth="1"/>
    <col min="9" max="9" width="10.28515625" bestFit="1" customWidth="1"/>
    <col min="11" max="11" width="16.5703125" bestFit="1" customWidth="1"/>
    <col min="12" max="12" width="17.7109375" bestFit="1" customWidth="1"/>
    <col min="14" max="14" width="22.5703125" bestFit="1" customWidth="1"/>
    <col min="15" max="15" width="14.85546875" bestFit="1" customWidth="1"/>
    <col min="16" max="16" width="15.5703125" bestFit="1" customWidth="1"/>
    <col min="17" max="17" width="15" bestFit="1" customWidth="1"/>
    <col min="18" max="18" width="15.5703125" bestFit="1" customWidth="1"/>
  </cols>
  <sheetData>
    <row r="1" spans="2:18" ht="13.5" thickBot="1" x14ac:dyDescent="0.25"/>
    <row r="2" spans="2:18" ht="13.5" thickBot="1" x14ac:dyDescent="0.25">
      <c r="B2" s="60" t="s">
        <v>3</v>
      </c>
      <c r="C2" s="61"/>
      <c r="E2" s="60" t="s">
        <v>5</v>
      </c>
      <c r="F2" s="61"/>
      <c r="H2" s="62" t="s">
        <v>4</v>
      </c>
      <c r="I2" s="63"/>
      <c r="K2" s="62" t="s">
        <v>9</v>
      </c>
      <c r="L2" s="63"/>
      <c r="N2" s="51" t="s">
        <v>73</v>
      </c>
      <c r="O2" s="54">
        <f>SUM(Table1[[ Sales]])</f>
        <v>119078748.52370724</v>
      </c>
    </row>
    <row r="3" spans="2:18" x14ac:dyDescent="0.2">
      <c r="B3" s="32" t="s">
        <v>39</v>
      </c>
      <c r="C3" s="33">
        <v>1607.4792560801145</v>
      </c>
      <c r="E3" s="32" t="s">
        <v>39</v>
      </c>
      <c r="F3" s="33">
        <v>118.87087517934003</v>
      </c>
      <c r="H3" s="26" t="s">
        <v>39</v>
      </c>
      <c r="I3" s="27">
        <v>96.257510729613728</v>
      </c>
      <c r="K3" s="26" t="s">
        <v>39</v>
      </c>
      <c r="L3" s="27">
        <v>145676.69957081546</v>
      </c>
      <c r="N3" s="52" t="s">
        <v>74</v>
      </c>
      <c r="O3" s="55">
        <f>SUM(Table1[COGS])</f>
        <v>101973689.69957082</v>
      </c>
      <c r="P3" s="50">
        <f>O3/O2</f>
        <v>0.85635506724584864</v>
      </c>
    </row>
    <row r="4" spans="2:18" x14ac:dyDescent="0.2">
      <c r="B4" s="28" t="s">
        <v>40</v>
      </c>
      <c r="C4" s="29">
        <v>32.822482060151472</v>
      </c>
      <c r="E4" s="28" t="s">
        <v>40</v>
      </c>
      <c r="F4" s="29">
        <v>5.185568929558328</v>
      </c>
      <c r="H4" s="28" t="s">
        <v>40</v>
      </c>
      <c r="I4" s="29">
        <v>4.1047810169856529</v>
      </c>
      <c r="K4" s="28" t="s">
        <v>40</v>
      </c>
      <c r="L4" s="29">
        <v>7713.7846280439126</v>
      </c>
      <c r="N4" s="52" t="s">
        <v>75</v>
      </c>
      <c r="O4" s="55">
        <f>SUM(Table1[Profit])</f>
        <v>17105058.824136518</v>
      </c>
      <c r="P4" s="50">
        <f>O4/O2</f>
        <v>0.14364493275415213</v>
      </c>
    </row>
    <row r="5" spans="2:18" x14ac:dyDescent="0.2">
      <c r="B5" s="28" t="s">
        <v>41</v>
      </c>
      <c r="C5" s="29">
        <v>1540</v>
      </c>
      <c r="E5" s="28" t="s">
        <v>41</v>
      </c>
      <c r="F5" s="29">
        <v>20</v>
      </c>
      <c r="H5" s="28" t="s">
        <v>41</v>
      </c>
      <c r="I5" s="29">
        <v>10</v>
      </c>
      <c r="K5" s="28" t="s">
        <v>41</v>
      </c>
      <c r="L5" s="29">
        <v>22550</v>
      </c>
      <c r="N5" s="52" t="s">
        <v>76</v>
      </c>
      <c r="O5" s="57">
        <f>AVERAGE(Table1[Profit Margin])</f>
        <v>0.27961720894804903</v>
      </c>
    </row>
    <row r="6" spans="2:18" x14ac:dyDescent="0.2">
      <c r="B6" s="28" t="s">
        <v>42</v>
      </c>
      <c r="C6" s="29">
        <v>727</v>
      </c>
      <c r="E6" s="28" t="s">
        <v>42</v>
      </c>
      <c r="F6" s="29">
        <v>350</v>
      </c>
      <c r="H6" s="28" t="s">
        <v>42</v>
      </c>
      <c r="I6" s="29">
        <v>10</v>
      </c>
      <c r="K6" s="28" t="s">
        <v>42</v>
      </c>
      <c r="L6" s="29">
        <v>17430</v>
      </c>
      <c r="N6" s="52" t="s">
        <v>77</v>
      </c>
      <c r="O6" s="55">
        <f>SUM(Table1[Units Sold])</f>
        <v>1125235.47925608</v>
      </c>
    </row>
    <row r="7" spans="2:18" ht="13.5" thickBot="1" x14ac:dyDescent="0.25">
      <c r="B7" s="28" t="s">
        <v>43</v>
      </c>
      <c r="C7" s="29">
        <v>867.78074113435287</v>
      </c>
      <c r="E7" s="28" t="s">
        <v>43</v>
      </c>
      <c r="F7" s="29">
        <v>136.90294814528608</v>
      </c>
      <c r="H7" s="28" t="s">
        <v>43</v>
      </c>
      <c r="I7" s="29">
        <v>108.5246967790587</v>
      </c>
      <c r="K7" s="28" t="s">
        <v>43</v>
      </c>
      <c r="L7" s="29">
        <v>203941.72900170466</v>
      </c>
      <c r="N7" s="53" t="s">
        <v>78</v>
      </c>
      <c r="O7" s="56">
        <f>SUM(Table1[Discounts])</f>
        <v>9205248.2400000021</v>
      </c>
      <c r="P7" s="50">
        <f>O7/O2</f>
        <v>7.7303871212312414E-2</v>
      </c>
    </row>
    <row r="8" spans="2:18" x14ac:dyDescent="0.2">
      <c r="B8" s="28" t="s">
        <v>44</v>
      </c>
      <c r="C8" s="29">
        <v>753043.41468368669</v>
      </c>
      <c r="E8" s="28" t="s">
        <v>44</v>
      </c>
      <c r="F8" s="29">
        <v>18742.417210870892</v>
      </c>
      <c r="H8" s="28" t="s">
        <v>44</v>
      </c>
      <c r="I8" s="29">
        <v>11777.609810986633</v>
      </c>
      <c r="K8" s="28" t="s">
        <v>44</v>
      </c>
      <c r="L8" s="29">
        <v>41592228828.20475</v>
      </c>
    </row>
    <row r="9" spans="2:18" ht="13.5" thickBot="1" x14ac:dyDescent="0.25">
      <c r="B9" s="28" t="s">
        <v>45</v>
      </c>
      <c r="C9" s="29">
        <v>-0.31444645292525397</v>
      </c>
      <c r="E9" s="28" t="s">
        <v>45</v>
      </c>
      <c r="F9" s="29">
        <v>-1.1871083449958877</v>
      </c>
      <c r="H9" s="28" t="s">
        <v>45</v>
      </c>
      <c r="I9" s="29">
        <v>-1.4230855337051413</v>
      </c>
      <c r="K9" s="28" t="s">
        <v>45</v>
      </c>
      <c r="L9" s="29">
        <v>1.6017237612621491</v>
      </c>
    </row>
    <row r="10" spans="2:18" ht="13.5" thickBot="1" x14ac:dyDescent="0.25">
      <c r="B10" s="28" t="s">
        <v>46</v>
      </c>
      <c r="C10" s="29">
        <v>0.4386667556251474</v>
      </c>
      <c r="E10" s="28" t="s">
        <v>46</v>
      </c>
      <c r="F10" s="29">
        <v>0.76456835533473488</v>
      </c>
      <c r="H10" s="28" t="s">
        <v>46</v>
      </c>
      <c r="I10" s="29">
        <v>0.5967358228580909</v>
      </c>
      <c r="K10" s="28" t="s">
        <v>46</v>
      </c>
      <c r="L10" s="29">
        <v>1.5470352723624015</v>
      </c>
      <c r="N10" s="36" t="s">
        <v>1</v>
      </c>
      <c r="O10" s="70" t="s">
        <v>84</v>
      </c>
      <c r="P10" s="37" t="s">
        <v>85</v>
      </c>
      <c r="Q10" s="75" t="s">
        <v>9</v>
      </c>
      <c r="R10" s="76" t="s">
        <v>85</v>
      </c>
    </row>
    <row r="11" spans="2:18" x14ac:dyDescent="0.2">
      <c r="B11" s="28" t="s">
        <v>47</v>
      </c>
      <c r="C11" s="29">
        <v>4292.5</v>
      </c>
      <c r="E11" s="28" t="s">
        <v>47</v>
      </c>
      <c r="F11" s="29">
        <v>343</v>
      </c>
      <c r="H11" s="28" t="s">
        <v>47</v>
      </c>
      <c r="I11" s="29">
        <v>257</v>
      </c>
      <c r="K11" s="28" t="s">
        <v>47</v>
      </c>
      <c r="L11" s="29">
        <v>949707</v>
      </c>
      <c r="N11" s="32" t="s">
        <v>17</v>
      </c>
      <c r="O11" s="66">
        <f>SUMIF(Data!E:E,Analysis!N11,Data!L:L)</f>
        <v>13815307.885000004</v>
      </c>
      <c r="P11" s="78">
        <f>O11/$O$17</f>
        <v>0.11601824890063839</v>
      </c>
      <c r="Q11" s="66">
        <f>SUMIF(Data!E:E,Analysis!N11,Data!M:M)</f>
        <v>11988503</v>
      </c>
      <c r="R11" s="71">
        <f>Q11/$Q$17</f>
        <v>0.1175646682523684</v>
      </c>
    </row>
    <row r="12" spans="2:18" x14ac:dyDescent="0.2">
      <c r="B12" s="28" t="s">
        <v>48</v>
      </c>
      <c r="C12" s="29">
        <v>200</v>
      </c>
      <c r="E12" s="28" t="s">
        <v>48</v>
      </c>
      <c r="F12" s="29">
        <v>7</v>
      </c>
      <c r="H12" s="28" t="s">
        <v>48</v>
      </c>
      <c r="I12" s="29">
        <v>3</v>
      </c>
      <c r="K12" s="28" t="s">
        <v>48</v>
      </c>
      <c r="L12" s="29">
        <v>918</v>
      </c>
      <c r="N12" s="28" t="s">
        <v>23</v>
      </c>
      <c r="O12" s="65">
        <f>SUMIF(Data!E:E,Analysis!N12,Data!L:L)</f>
        <v>15555917.382152077</v>
      </c>
      <c r="P12" s="77">
        <f t="shared" ref="P12:P16" si="0">O12/$O$17</f>
        <v>0.1306355464346777</v>
      </c>
      <c r="Q12" s="66">
        <f>SUMIF(Data!E:E,Analysis!N12,Data!M:M)</f>
        <v>13417088.699570816</v>
      </c>
      <c r="R12" s="72">
        <f t="shared" ref="R12:R16" si="1">Q12/$Q$17</f>
        <v>0.13157402403599883</v>
      </c>
    </row>
    <row r="13" spans="2:18" x14ac:dyDescent="0.2">
      <c r="B13" s="28" t="s">
        <v>49</v>
      </c>
      <c r="C13" s="29">
        <v>4492.5</v>
      </c>
      <c r="E13" s="28" t="s">
        <v>49</v>
      </c>
      <c r="F13" s="29">
        <v>350</v>
      </c>
      <c r="H13" s="28" t="s">
        <v>49</v>
      </c>
      <c r="I13" s="29">
        <v>260</v>
      </c>
      <c r="K13" s="28" t="s">
        <v>49</v>
      </c>
      <c r="L13" s="29">
        <v>950625</v>
      </c>
      <c r="N13" s="28" t="s">
        <v>28</v>
      </c>
      <c r="O13" s="65">
        <f>SUMIF(Data!E:E,Analysis!N13,Data!L:L)</f>
        <v>33040014.245552376</v>
      </c>
      <c r="P13" s="77">
        <f t="shared" si="0"/>
        <v>0.27746356638081776</v>
      </c>
      <c r="Q13" s="66">
        <f>SUMIF(Data!E:E,Analysis!N13,Data!M:M)</f>
        <v>28213706</v>
      </c>
      <c r="R13" s="72">
        <f t="shared" si="1"/>
        <v>0.27667632781673041</v>
      </c>
    </row>
    <row r="14" spans="2:18" x14ac:dyDescent="0.2">
      <c r="B14" s="28" t="s">
        <v>50</v>
      </c>
      <c r="C14" s="29">
        <v>1123628</v>
      </c>
      <c r="E14" s="28" t="s">
        <v>50</v>
      </c>
      <c r="F14" s="29">
        <v>82853</v>
      </c>
      <c r="H14" s="28" t="s">
        <v>50</v>
      </c>
      <c r="I14" s="29">
        <v>67284</v>
      </c>
      <c r="K14" s="28" t="s">
        <v>50</v>
      </c>
      <c r="L14" s="29">
        <v>101828013</v>
      </c>
      <c r="N14" s="28" t="s">
        <v>30</v>
      </c>
      <c r="O14" s="65">
        <f>SUMIF(Data!E:E,Analysis!N14,Data!L:L)</f>
        <v>18250059.465</v>
      </c>
      <c r="P14" s="77">
        <f t="shared" si="0"/>
        <v>0.15326042380573562</v>
      </c>
      <c r="Q14" s="66">
        <f>SUMIF(Data!E:E,Analysis!N14,Data!M:M)</f>
        <v>15944067</v>
      </c>
      <c r="R14" s="72">
        <f t="shared" si="1"/>
        <v>0.15635471313211788</v>
      </c>
    </row>
    <row r="15" spans="2:18" ht="13.5" thickBot="1" x14ac:dyDescent="0.25">
      <c r="B15" s="30" t="s">
        <v>51</v>
      </c>
      <c r="C15" s="31">
        <v>699</v>
      </c>
      <c r="E15" s="30" t="s">
        <v>51</v>
      </c>
      <c r="F15" s="31">
        <v>697</v>
      </c>
      <c r="H15" s="30" t="s">
        <v>51</v>
      </c>
      <c r="I15" s="31">
        <v>699</v>
      </c>
      <c r="K15" s="30" t="s">
        <v>51</v>
      </c>
      <c r="L15" s="31">
        <v>699</v>
      </c>
      <c r="N15" s="28" t="s">
        <v>31</v>
      </c>
      <c r="O15" s="65">
        <f>SUMIF(Data!E:E,Analysis!N15,Data!L:L)</f>
        <v>20670333.486002881</v>
      </c>
      <c r="P15" s="77">
        <f t="shared" si="0"/>
        <v>0.17358541085009502</v>
      </c>
      <c r="Q15" s="66">
        <f>SUMIF(Data!E:E,Analysis!N15,Data!M:M)</f>
        <v>17477313</v>
      </c>
      <c r="R15" s="72">
        <f t="shared" si="1"/>
        <v>0.17139041503245281</v>
      </c>
    </row>
    <row r="16" spans="2:18" ht="13.5" thickBot="1" x14ac:dyDescent="0.25">
      <c r="C16" s="25"/>
      <c r="N16" s="67" t="s">
        <v>32</v>
      </c>
      <c r="O16" s="68">
        <f>SUMIF(Data!E:E,Analysis!N16,Data!L:L)</f>
        <v>17747116.059999999</v>
      </c>
      <c r="P16" s="79">
        <f t="shared" si="0"/>
        <v>0.14903680362803556</v>
      </c>
      <c r="Q16" s="66">
        <f>SUMIF(Data!E:E,Analysis!N16,Data!M:M)</f>
        <v>14933012</v>
      </c>
      <c r="R16" s="73">
        <f t="shared" si="1"/>
        <v>0.14643985173033167</v>
      </c>
    </row>
    <row r="17" spans="2:18" ht="13.5" thickBot="1" x14ac:dyDescent="0.25">
      <c r="B17" s="36" t="s">
        <v>37</v>
      </c>
      <c r="C17" s="37" t="s">
        <v>51</v>
      </c>
      <c r="E17" s="38" t="s">
        <v>38</v>
      </c>
      <c r="F17" s="39" t="s">
        <v>51</v>
      </c>
      <c r="H17" s="38" t="s">
        <v>1</v>
      </c>
      <c r="I17" s="39" t="s">
        <v>51</v>
      </c>
      <c r="K17" s="38" t="s">
        <v>2</v>
      </c>
      <c r="L17" s="39" t="s">
        <v>51</v>
      </c>
      <c r="N17" s="36" t="s">
        <v>54</v>
      </c>
      <c r="O17" s="69">
        <f>SUM(O11:O16)</f>
        <v>119078748.52370733</v>
      </c>
      <c r="P17" s="74">
        <f>SUM(P11:P16)</f>
        <v>1</v>
      </c>
      <c r="Q17" s="69">
        <f>SUM(Q11:Q16)</f>
        <v>101973689.69957082</v>
      </c>
      <c r="R17" s="80">
        <f>SUM(R11:R16)</f>
        <v>1</v>
      </c>
    </row>
    <row r="18" spans="2:18" ht="13.5" thickBot="1" x14ac:dyDescent="0.25">
      <c r="B18" s="32" t="s">
        <v>15</v>
      </c>
      <c r="C18" s="35">
        <f>COUNTIF(Table1[Segment (Clean)],Analysis!B18)</f>
        <v>300</v>
      </c>
      <c r="E18" s="26" t="s">
        <v>16</v>
      </c>
      <c r="F18" s="40">
        <f>COUNTIF(Table1[Country (Clean)],Analysis!E18)</f>
        <v>140</v>
      </c>
      <c r="H18" s="26" t="s">
        <v>17</v>
      </c>
      <c r="I18" s="40">
        <f>COUNTIF(Table1[Product],Analysis!H18)</f>
        <v>93</v>
      </c>
      <c r="K18" s="26" t="s">
        <v>18</v>
      </c>
      <c r="L18" s="40">
        <f>COUNTIF(Table1[Discount Band],Analysis!K18)</f>
        <v>53</v>
      </c>
    </row>
    <row r="19" spans="2:18" ht="13.5" thickBot="1" x14ac:dyDescent="0.25">
      <c r="B19" s="28" t="s">
        <v>20</v>
      </c>
      <c r="C19" s="34">
        <f>COUNTIF(Table1[Segment (Clean)],Analysis!B19)</f>
        <v>100</v>
      </c>
      <c r="E19" s="28" t="s">
        <v>19</v>
      </c>
      <c r="F19" s="34">
        <f>COUNTIF(Table1[Country (Clean)],Analysis!E19)</f>
        <v>140</v>
      </c>
      <c r="H19" s="28" t="s">
        <v>23</v>
      </c>
      <c r="I19" s="34">
        <f>COUNTIF(Table1[Product],Analysis!H19)</f>
        <v>93</v>
      </c>
      <c r="K19" s="28" t="s">
        <v>33</v>
      </c>
      <c r="L19" s="34">
        <f>COUNTIF(Table1[Discount Band],Analysis!K19)</f>
        <v>160</v>
      </c>
      <c r="N19" s="36" t="s">
        <v>79</v>
      </c>
      <c r="O19" s="70" t="s">
        <v>84</v>
      </c>
      <c r="P19" s="37" t="s">
        <v>85</v>
      </c>
      <c r="Q19" s="75" t="s">
        <v>9</v>
      </c>
      <c r="R19" s="76" t="s">
        <v>85</v>
      </c>
    </row>
    <row r="20" spans="2:18" x14ac:dyDescent="0.2">
      <c r="B20" s="28" t="s">
        <v>24</v>
      </c>
      <c r="C20" s="34">
        <f>COUNTIF(Table1[Segment (Clean)],Analysis!B20)</f>
        <v>100</v>
      </c>
      <c r="E20" s="28" t="s">
        <v>21</v>
      </c>
      <c r="F20" s="34">
        <f>COUNTIF(Table1[Country (Clean)],Analysis!E20)</f>
        <v>140</v>
      </c>
      <c r="H20" s="28" t="s">
        <v>28</v>
      </c>
      <c r="I20" s="34">
        <f>COUNTIF(Table1[Product],Analysis!H20)</f>
        <v>202</v>
      </c>
      <c r="K20" s="28" t="s">
        <v>34</v>
      </c>
      <c r="L20" s="34">
        <f>COUNTIF(Table1[Discount Band],Analysis!K20)</f>
        <v>242</v>
      </c>
      <c r="N20" s="26" t="s">
        <v>16</v>
      </c>
      <c r="O20" s="66">
        <f>SUMIF(Data!C:C,Analysis!N20,Data!L:L)</f>
        <v>24916525.180552371</v>
      </c>
      <c r="P20" s="78">
        <f>O20/$O$25</f>
        <v>0.20924409678013828</v>
      </c>
      <c r="Q20" s="66">
        <f>SUMIF(Data!C:C,Analysis!N20,Data!M:M)</f>
        <v>21358426</v>
      </c>
      <c r="R20" s="71">
        <f>Q20/$Q$25</f>
        <v>0.2094503598224699</v>
      </c>
    </row>
    <row r="21" spans="2:18" x14ac:dyDescent="0.2">
      <c r="B21" s="28" t="s">
        <v>25</v>
      </c>
      <c r="C21" s="34">
        <f>COUNTIF(Table1[Segment (Clean)],Analysis!B21)</f>
        <v>100</v>
      </c>
      <c r="E21" s="28" t="s">
        <v>22</v>
      </c>
      <c r="F21" s="34">
        <f>COUNTIF(Table1[Country (Clean)],Analysis!E21)</f>
        <v>140</v>
      </c>
      <c r="H21" s="28" t="s">
        <v>30</v>
      </c>
      <c r="I21" s="34">
        <f>COUNTIF(Table1[Product],Analysis!H21)</f>
        <v>109</v>
      </c>
      <c r="K21" s="28" t="s">
        <v>35</v>
      </c>
      <c r="L21" s="34">
        <f>COUNTIF(Table1[Discount Band],Analysis!K21)</f>
        <v>245</v>
      </c>
      <c r="N21" s="28" t="s">
        <v>19</v>
      </c>
      <c r="O21" s="66">
        <f>SUMIF(Data!C:C,Analysis!N21,Data!L:L)</f>
        <v>23677883.286002893</v>
      </c>
      <c r="P21" s="78">
        <f t="shared" ref="P21:P24" si="2">O21/$O$25</f>
        <v>0.19884222482644642</v>
      </c>
      <c r="Q21" s="66">
        <f>SUMIF(Data!C:C,Analysis!N21,Data!M:M)</f>
        <v>19842097</v>
      </c>
      <c r="R21" s="71">
        <f t="shared" ref="R21:R24" si="3">Q21/$Q$25</f>
        <v>0.19458055365514063</v>
      </c>
    </row>
    <row r="22" spans="2:18" ht="13.5" thickBot="1" x14ac:dyDescent="0.25">
      <c r="B22" s="28" t="s">
        <v>29</v>
      </c>
      <c r="C22" s="34">
        <f>COUNTIF(Table1[Segment (Clean)],Analysis!B22)</f>
        <v>100</v>
      </c>
      <c r="E22" s="28" t="s">
        <v>53</v>
      </c>
      <c r="F22" s="34">
        <f>COUNTIF(Table1[Country (Clean)],Analysis!E22)</f>
        <v>0</v>
      </c>
      <c r="H22" s="28" t="s">
        <v>31</v>
      </c>
      <c r="I22" s="34">
        <f>COUNTIF(Table1[Product],Analysis!H22)</f>
        <v>109</v>
      </c>
      <c r="K22" s="30"/>
      <c r="L22" s="43">
        <f>COUNTIF(Table1[Discount Band],"")</f>
        <v>0</v>
      </c>
      <c r="N22" s="28" t="s">
        <v>21</v>
      </c>
      <c r="O22" s="66">
        <f>SUMIF(Data!C:C,Analysis!N22,Data!L:L)</f>
        <v>24505157.78215209</v>
      </c>
      <c r="P22" s="78">
        <f t="shared" si="2"/>
        <v>0.20578951396414252</v>
      </c>
      <c r="Q22" s="66">
        <f>SUMIF(Data!C:C,Analysis!N22,Data!M:M)</f>
        <v>20697048.199570816</v>
      </c>
      <c r="R22" s="71">
        <f t="shared" si="3"/>
        <v>0.20296459077382903</v>
      </c>
    </row>
    <row r="23" spans="2:18" ht="13.5" thickBot="1" x14ac:dyDescent="0.25">
      <c r="B23" s="30" t="s">
        <v>52</v>
      </c>
      <c r="C23" s="43">
        <f>COUNTIF(Table1[Segment (Clean)],"")</f>
        <v>0</v>
      </c>
      <c r="E23" s="30"/>
      <c r="F23" s="43">
        <f>COUNTIF(Table1[Country (Clean)],"")</f>
        <v>0</v>
      </c>
      <c r="H23" s="28" t="s">
        <v>32</v>
      </c>
      <c r="I23" s="34">
        <f>COUNTIF(Table1[Product],Analysis!H23)</f>
        <v>94</v>
      </c>
      <c r="K23" s="41" t="s">
        <v>54</v>
      </c>
      <c r="L23" s="42">
        <f>SUM(L18:L22)</f>
        <v>700</v>
      </c>
      <c r="N23" s="28" t="s">
        <v>22</v>
      </c>
      <c r="O23" s="66">
        <f>SUMIF(Data!C:C,Analysis!N23,Data!L:L)</f>
        <v>20949352.109999999</v>
      </c>
      <c r="P23" s="78">
        <f t="shared" si="2"/>
        <v>0.17592855458864012</v>
      </c>
      <c r="Q23" s="66">
        <f>SUMIF(Data!C:C,Analysis!N23,Data!M:M)</f>
        <v>18041829</v>
      </c>
      <c r="R23" s="71">
        <f t="shared" si="3"/>
        <v>0.17692631357317587</v>
      </c>
    </row>
    <row r="24" spans="2:18" ht="13.5" thickBot="1" x14ac:dyDescent="0.25">
      <c r="B24" s="41" t="s">
        <v>54</v>
      </c>
      <c r="C24" s="42">
        <f>SUM(C18:C23)</f>
        <v>700</v>
      </c>
      <c r="E24" s="41" t="s">
        <v>54</v>
      </c>
      <c r="F24" s="42">
        <f>SUM(F18:F23)</f>
        <v>560</v>
      </c>
      <c r="H24" s="30"/>
      <c r="I24" s="43">
        <f>COUNTIF(Table1[Product],"")</f>
        <v>0</v>
      </c>
      <c r="N24" s="81" t="s">
        <v>71</v>
      </c>
      <c r="O24" s="66">
        <f>SUMIF(Data!C:C,Analysis!N24,Data!L:L)</f>
        <v>25029830.165000014</v>
      </c>
      <c r="P24" s="78">
        <f t="shared" si="2"/>
        <v>0.21019560984063274</v>
      </c>
      <c r="Q24" s="66">
        <f>SUMIF(Data!C:C,Analysis!N24,Data!M:M)</f>
        <v>22034289.5</v>
      </c>
      <c r="R24" s="71">
        <f t="shared" si="3"/>
        <v>0.21607818217538458</v>
      </c>
    </row>
    <row r="25" spans="2:18" ht="13.5" thickBot="1" x14ac:dyDescent="0.25">
      <c r="H25" s="41" t="s">
        <v>54</v>
      </c>
      <c r="I25" s="42">
        <f>SUM(I18:I24)</f>
        <v>700</v>
      </c>
      <c r="N25" s="36" t="s">
        <v>54</v>
      </c>
      <c r="O25" s="69">
        <f>SUM(O20:O24)</f>
        <v>119078748.52370736</v>
      </c>
      <c r="P25" s="74">
        <f>SUM(P20:P24)</f>
        <v>1</v>
      </c>
      <c r="Q25" s="69">
        <f>SUM(Q20:Q24)</f>
        <v>101973689.69957082</v>
      </c>
      <c r="R25" s="80">
        <f>SUM(R20:R24)</f>
        <v>1</v>
      </c>
    </row>
    <row r="26" spans="2:18" ht="13.5" thickBot="1" x14ac:dyDescent="0.25"/>
    <row r="27" spans="2:18" ht="13.5" thickBot="1" x14ac:dyDescent="0.25">
      <c r="N27" s="36" t="s">
        <v>37</v>
      </c>
      <c r="O27" s="70" t="s">
        <v>84</v>
      </c>
      <c r="P27" s="37" t="s">
        <v>85</v>
      </c>
      <c r="Q27" s="75" t="s">
        <v>9</v>
      </c>
      <c r="R27" s="76" t="s">
        <v>85</v>
      </c>
    </row>
    <row r="28" spans="2:18" x14ac:dyDescent="0.2">
      <c r="N28" s="32" t="s">
        <v>15</v>
      </c>
      <c r="O28" s="66">
        <f>SUMIF(Data!B:B,Analysis!N28,Data!L:L)</f>
        <v>52533130.965552405</v>
      </c>
      <c r="P28" s="78">
        <f>O28/$O$33</f>
        <v>0.44116294147224427</v>
      </c>
      <c r="Q28" s="66">
        <f>SUMIF(Data!B:B,Analysis!N28,Data!M:M)</f>
        <v>41116087.5</v>
      </c>
      <c r="R28" s="71">
        <f>Q28/$Q$33</f>
        <v>0.4032029008770196</v>
      </c>
    </row>
    <row r="29" spans="2:18" x14ac:dyDescent="0.2">
      <c r="N29" s="28" t="s">
        <v>20</v>
      </c>
      <c r="O29" s="66">
        <f>SUMIF(Data!B:B,Analysis!N29,Data!L:L)</f>
        <v>2540295.541002878</v>
      </c>
      <c r="P29" s="78">
        <f t="shared" ref="P29:P32" si="4">O29/$O$33</f>
        <v>2.1332904254507942E-2</v>
      </c>
      <c r="Q29" s="66">
        <f>SUMIF(Data!B:B,Analysis!N29,Data!M:M)</f>
        <v>1721780</v>
      </c>
      <c r="R29" s="71">
        <f t="shared" ref="R29:R32" si="5">Q29/$Q$33</f>
        <v>1.6884551349202057E-2</v>
      </c>
    </row>
    <row r="30" spans="2:18" x14ac:dyDescent="0.2">
      <c r="N30" s="28" t="s">
        <v>24</v>
      </c>
      <c r="O30" s="66">
        <f>SUMIF(Data!B:B,Analysis!N30,Data!L:L)</f>
        <v>1965709.1421520796</v>
      </c>
      <c r="P30" s="78">
        <f t="shared" si="4"/>
        <v>1.6507640250860774E-2</v>
      </c>
      <c r="Q30" s="66">
        <f>SUMIF(Data!B:B,Analysis!N30,Data!M:M)</f>
        <v>624832.19957081543</v>
      </c>
      <c r="R30" s="71">
        <f t="shared" si="5"/>
        <v>6.1273864014498363E-3</v>
      </c>
    </row>
    <row r="31" spans="2:18" x14ac:dyDescent="0.2">
      <c r="N31" s="28" t="s">
        <v>25</v>
      </c>
      <c r="O31" s="66">
        <f>SUMIF(Data!B:B,Analysis!N31,Data!L:L)</f>
        <v>19611694.375</v>
      </c>
      <c r="P31" s="78">
        <f t="shared" si="4"/>
        <v>0.1646951670061893</v>
      </c>
      <c r="Q31" s="66">
        <f>SUMIF(Data!B:B,Analysis!N31,Data!M:M)</f>
        <v>20226240</v>
      </c>
      <c r="R31" s="71">
        <f t="shared" si="5"/>
        <v>0.1983476331943016</v>
      </c>
    </row>
    <row r="32" spans="2:18" ht="13.5" thickBot="1" x14ac:dyDescent="0.25">
      <c r="N32" s="28" t="s">
        <v>29</v>
      </c>
      <c r="O32" s="66">
        <f>SUMIF(Data!B:B,Analysis!N32,Data!L:L)</f>
        <v>42427918.5</v>
      </c>
      <c r="P32" s="78">
        <f t="shared" si="4"/>
        <v>0.35630134701619776</v>
      </c>
      <c r="Q32" s="66">
        <f>SUMIF(Data!B:B,Analysis!N32,Data!M:M)</f>
        <v>38284750</v>
      </c>
      <c r="R32" s="71">
        <f t="shared" si="5"/>
        <v>0.37543752817802706</v>
      </c>
    </row>
    <row r="33" spans="14:18" ht="13.5" thickBot="1" x14ac:dyDescent="0.25">
      <c r="N33" s="36" t="s">
        <v>54</v>
      </c>
      <c r="O33" s="69">
        <f>SUM(O28:O32)</f>
        <v>119078748.52370736</v>
      </c>
      <c r="P33" s="74">
        <f>SUM(P28:P32)</f>
        <v>1</v>
      </c>
      <c r="Q33" s="69">
        <f>SUM(Q28:Q32)</f>
        <v>101973689.6995708</v>
      </c>
      <c r="R33" s="80">
        <f>SUM(R28:R32)</f>
        <v>1.0000000000000002</v>
      </c>
    </row>
  </sheetData>
  <mergeCells count="4">
    <mergeCell ref="B2:C2"/>
    <mergeCell ref="H2:I2"/>
    <mergeCell ref="E2:F2"/>
    <mergeCell ref="K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opLeftCell="B1" workbookViewId="0">
      <selection activeCell="C2" sqref="C2"/>
    </sheetView>
  </sheetViews>
  <sheetFormatPr defaultColWidth="25.140625" defaultRowHeight="15.75" customHeight="1" x14ac:dyDescent="0.2"/>
  <cols>
    <col min="1" max="1" width="15.7109375" bestFit="1" customWidth="1"/>
    <col min="2" max="2" width="18.28515625" customWidth="1"/>
    <col min="3" max="3" width="22.28515625" bestFit="1" customWidth="1"/>
    <col min="4" max="4" width="22.28515625" customWidth="1"/>
    <col min="5" max="5" width="11.28515625" customWidth="1"/>
    <col min="6" max="6" width="17.28515625" customWidth="1"/>
    <col min="7" max="7" width="13.42578125" style="14" customWidth="1"/>
    <col min="8" max="8" width="21.42578125" customWidth="1"/>
    <col min="9" max="9" width="12.5703125" customWidth="1"/>
    <col min="10" max="10" width="13.7109375" customWidth="1"/>
    <col min="11" max="11" width="11.7109375" customWidth="1"/>
    <col min="12" max="12" width="12.85546875" bestFit="1" customWidth="1"/>
    <col min="13" max="14" width="11.28515625" bestFit="1" customWidth="1"/>
    <col min="15" max="15" width="14.85546875" style="17" customWidth="1"/>
    <col min="16" max="16" width="9.42578125" style="20" bestFit="1" customWidth="1"/>
    <col min="17" max="17" width="16.42578125" customWidth="1"/>
    <col min="18" max="18" width="15.7109375" customWidth="1"/>
    <col min="19" max="19" width="9" style="23" customWidth="1"/>
    <col min="21" max="21" width="16.5703125" bestFit="1" customWidth="1"/>
    <col min="22" max="22" width="12.85546875" bestFit="1" customWidth="1"/>
    <col min="23" max="23" width="5.5703125" customWidth="1"/>
    <col min="24" max="24" width="16.5703125" bestFit="1" customWidth="1"/>
    <col min="25" max="25" width="17.7109375" bestFit="1" customWidth="1"/>
  </cols>
  <sheetData>
    <row r="1" spans="1:29" ht="12.75" x14ac:dyDescent="0.2">
      <c r="A1" s="8" t="s">
        <v>0</v>
      </c>
      <c r="B1" s="24" t="s">
        <v>37</v>
      </c>
      <c r="C1" s="8" t="s">
        <v>79</v>
      </c>
      <c r="D1" s="24" t="s">
        <v>38</v>
      </c>
      <c r="E1" s="9" t="s">
        <v>1</v>
      </c>
      <c r="F1" s="9" t="s">
        <v>2</v>
      </c>
      <c r="G1" s="12" t="s">
        <v>3</v>
      </c>
      <c r="H1" s="10" t="s">
        <v>4</v>
      </c>
      <c r="I1" s="10" t="s">
        <v>5</v>
      </c>
      <c r="J1" s="10" t="s">
        <v>6</v>
      </c>
      <c r="K1" s="10" t="s">
        <v>7</v>
      </c>
      <c r="L1" s="10" t="s">
        <v>8</v>
      </c>
      <c r="M1" s="10" t="s">
        <v>9</v>
      </c>
      <c r="N1" s="10" t="s">
        <v>10</v>
      </c>
      <c r="O1" s="15" t="s">
        <v>36</v>
      </c>
      <c r="P1" s="18" t="s">
        <v>11</v>
      </c>
      <c r="Q1" s="11" t="s">
        <v>12</v>
      </c>
      <c r="R1" s="9" t="s">
        <v>13</v>
      </c>
      <c r="S1" s="21" t="s">
        <v>14</v>
      </c>
      <c r="T1" s="1"/>
      <c r="U1" s="1"/>
      <c r="V1" s="1"/>
      <c r="W1" s="1"/>
      <c r="X1" s="1"/>
      <c r="Y1" s="1"/>
      <c r="Z1" s="1"/>
      <c r="AA1" s="1"/>
      <c r="AB1" s="1"/>
      <c r="AC1" s="1"/>
    </row>
    <row r="2" spans="1:29" ht="16.5" customHeight="1" x14ac:dyDescent="0.2">
      <c r="A2" s="2" t="s">
        <v>15</v>
      </c>
      <c r="B2" s="2" t="str">
        <f t="shared" ref="B2:B65" si="0">PROPER(A2)</f>
        <v>Government</v>
      </c>
      <c r="C2" s="2" t="s">
        <v>16</v>
      </c>
      <c r="D2" s="2" t="str">
        <f>PROPER(Table1[[#This Row],[Country]])</f>
        <v>Canada</v>
      </c>
      <c r="E2" s="3" t="s">
        <v>17</v>
      </c>
      <c r="F2" s="3" t="s">
        <v>18</v>
      </c>
      <c r="G2" s="13">
        <v>1618.5</v>
      </c>
      <c r="H2" s="4">
        <v>3</v>
      </c>
      <c r="I2" s="4">
        <v>20</v>
      </c>
      <c r="J2" s="4">
        <f>G2*I2</f>
        <v>32370</v>
      </c>
      <c r="K2" s="4">
        <v>0</v>
      </c>
      <c r="L2" s="4">
        <f>J2-K2</f>
        <v>32370</v>
      </c>
      <c r="M2" s="4">
        <v>16185</v>
      </c>
      <c r="N2" s="4">
        <f>L2-M2</f>
        <v>16185</v>
      </c>
      <c r="O2" s="16">
        <f>N2/L2</f>
        <v>0.5</v>
      </c>
      <c r="P2" s="19">
        <v>41640</v>
      </c>
      <c r="Q2" s="5">
        <f>MONTH(P2)</f>
        <v>1</v>
      </c>
      <c r="R2" s="3" t="str">
        <f>TEXT(P2,"mmmm")</f>
        <v>January</v>
      </c>
      <c r="S2" s="6">
        <f>YEAR(P2)</f>
        <v>2014</v>
      </c>
    </row>
    <row r="3" spans="1:29" ht="12.75" x14ac:dyDescent="0.2">
      <c r="A3" s="2" t="s">
        <v>15</v>
      </c>
      <c r="B3" s="2" t="str">
        <f t="shared" si="0"/>
        <v>Government</v>
      </c>
      <c r="C3" s="2" t="s">
        <v>19</v>
      </c>
      <c r="D3" s="2" t="str">
        <f>PROPER(Table1[[#This Row],[Country]])</f>
        <v>Germany</v>
      </c>
      <c r="E3" s="3" t="s">
        <v>17</v>
      </c>
      <c r="F3" s="3" t="s">
        <v>18</v>
      </c>
      <c r="G3" s="13">
        <v>1321</v>
      </c>
      <c r="H3" s="4">
        <v>3</v>
      </c>
      <c r="I3" s="4">
        <v>20</v>
      </c>
      <c r="J3" s="4">
        <f t="shared" ref="J3:J66" si="1">G3*I3</f>
        <v>26420</v>
      </c>
      <c r="K3" s="4">
        <v>0</v>
      </c>
      <c r="L3" s="4">
        <f t="shared" ref="L3:L66" si="2">J3-K3</f>
        <v>26420</v>
      </c>
      <c r="M3" s="4">
        <v>13210</v>
      </c>
      <c r="N3" s="4">
        <f t="shared" ref="N3:N66" si="3">L3-M3</f>
        <v>13210</v>
      </c>
      <c r="O3" s="16">
        <f t="shared" ref="O3:O66" si="4">N3/L3</f>
        <v>0.5</v>
      </c>
      <c r="P3" s="19">
        <v>41640</v>
      </c>
      <c r="Q3" s="5">
        <f t="shared" ref="Q3:Q66" si="5">MONTH(P3)</f>
        <v>1</v>
      </c>
      <c r="R3" s="3" t="str">
        <f t="shared" ref="R3:R66" si="6">TEXT(P3,"mmmm")</f>
        <v>January</v>
      </c>
      <c r="S3" s="6">
        <f t="shared" ref="S3:S66" si="7">YEAR(P3)</f>
        <v>2014</v>
      </c>
    </row>
    <row r="4" spans="1:29" ht="12.75" x14ac:dyDescent="0.2">
      <c r="A4" s="2" t="s">
        <v>20</v>
      </c>
      <c r="B4" s="2" t="str">
        <f t="shared" si="0"/>
        <v>Midmarket</v>
      </c>
      <c r="C4" s="2" t="s">
        <v>21</v>
      </c>
      <c r="D4" s="2" t="str">
        <f>PROPER(Table1[[#This Row],[Country]])</f>
        <v>France</v>
      </c>
      <c r="E4" s="3" t="s">
        <v>17</v>
      </c>
      <c r="F4" s="3" t="s">
        <v>18</v>
      </c>
      <c r="G4" s="13">
        <v>2178</v>
      </c>
      <c r="H4" s="4">
        <v>3</v>
      </c>
      <c r="I4" s="4">
        <v>15</v>
      </c>
      <c r="J4" s="4">
        <f t="shared" si="1"/>
        <v>32670</v>
      </c>
      <c r="K4" s="4">
        <v>0</v>
      </c>
      <c r="L4" s="4">
        <f t="shared" si="2"/>
        <v>32670</v>
      </c>
      <c r="M4" s="4">
        <v>21780</v>
      </c>
      <c r="N4" s="4">
        <f t="shared" si="3"/>
        <v>10890</v>
      </c>
      <c r="O4" s="16">
        <f t="shared" si="4"/>
        <v>0.33333333333333331</v>
      </c>
      <c r="P4" s="19">
        <v>41791</v>
      </c>
      <c r="Q4" s="5">
        <f t="shared" si="5"/>
        <v>6</v>
      </c>
      <c r="R4" s="3" t="str">
        <f t="shared" si="6"/>
        <v>June</v>
      </c>
      <c r="S4" s="6">
        <f t="shared" si="7"/>
        <v>2014</v>
      </c>
    </row>
    <row r="5" spans="1:29" ht="12.75" x14ac:dyDescent="0.2">
      <c r="A5" s="2" t="s">
        <v>20</v>
      </c>
      <c r="B5" s="2" t="str">
        <f t="shared" si="0"/>
        <v>Midmarket</v>
      </c>
      <c r="C5" s="2" t="s">
        <v>19</v>
      </c>
      <c r="D5" s="2" t="str">
        <f>PROPER(Table1[[#This Row],[Country]])</f>
        <v>Germany</v>
      </c>
      <c r="E5" s="3" t="s">
        <v>17</v>
      </c>
      <c r="F5" s="3" t="s">
        <v>18</v>
      </c>
      <c r="G5" s="13">
        <v>888</v>
      </c>
      <c r="H5" s="4">
        <v>3</v>
      </c>
      <c r="I5" s="4">
        <v>15</v>
      </c>
      <c r="J5" s="4">
        <f t="shared" si="1"/>
        <v>13320</v>
      </c>
      <c r="K5" s="4">
        <v>0</v>
      </c>
      <c r="L5" s="4">
        <f t="shared" si="2"/>
        <v>13320</v>
      </c>
      <c r="M5" s="4">
        <v>8880</v>
      </c>
      <c r="N5" s="4">
        <f t="shared" si="3"/>
        <v>4440</v>
      </c>
      <c r="O5" s="16">
        <f t="shared" si="4"/>
        <v>0.33333333333333331</v>
      </c>
      <c r="P5" s="19">
        <v>41791</v>
      </c>
      <c r="Q5" s="5">
        <f t="shared" si="5"/>
        <v>6</v>
      </c>
      <c r="R5" s="3" t="str">
        <f t="shared" si="6"/>
        <v>June</v>
      </c>
      <c r="S5" s="6">
        <f t="shared" si="7"/>
        <v>2014</v>
      </c>
    </row>
    <row r="6" spans="1:29" ht="12.75" x14ac:dyDescent="0.2">
      <c r="A6" s="2" t="s">
        <v>20</v>
      </c>
      <c r="B6" s="2" t="str">
        <f t="shared" si="0"/>
        <v>Midmarket</v>
      </c>
      <c r="C6" s="2" t="s">
        <v>22</v>
      </c>
      <c r="D6" s="2" t="str">
        <f>PROPER(Table1[[#This Row],[Country]])</f>
        <v>Mexico</v>
      </c>
      <c r="E6" s="3" t="s">
        <v>17</v>
      </c>
      <c r="F6" s="3" t="s">
        <v>18</v>
      </c>
      <c r="G6" s="13">
        <v>2470</v>
      </c>
      <c r="H6" s="4">
        <v>3</v>
      </c>
      <c r="I6" s="4">
        <v>15</v>
      </c>
      <c r="J6" s="4">
        <f t="shared" si="1"/>
        <v>37050</v>
      </c>
      <c r="K6" s="4">
        <v>0</v>
      </c>
      <c r="L6" s="4">
        <f t="shared" si="2"/>
        <v>37050</v>
      </c>
      <c r="M6" s="4">
        <v>24700</v>
      </c>
      <c r="N6" s="4">
        <f t="shared" si="3"/>
        <v>12350</v>
      </c>
      <c r="O6" s="16">
        <f t="shared" si="4"/>
        <v>0.33333333333333331</v>
      </c>
      <c r="P6" s="19">
        <v>41791</v>
      </c>
      <c r="Q6" s="5">
        <f t="shared" si="5"/>
        <v>6</v>
      </c>
      <c r="R6" s="3" t="str">
        <f t="shared" si="6"/>
        <v>June</v>
      </c>
      <c r="S6" s="6">
        <f t="shared" si="7"/>
        <v>2014</v>
      </c>
    </row>
    <row r="7" spans="1:29" ht="12.75" x14ac:dyDescent="0.2">
      <c r="A7" s="2" t="s">
        <v>15</v>
      </c>
      <c r="B7" s="2" t="str">
        <f t="shared" si="0"/>
        <v>Government</v>
      </c>
      <c r="C7" s="2" t="s">
        <v>19</v>
      </c>
      <c r="D7" s="2" t="str">
        <f>PROPER(Table1[[#This Row],[Country]])</f>
        <v>Germany</v>
      </c>
      <c r="E7" s="3" t="s">
        <v>17</v>
      </c>
      <c r="F7" s="3" t="s">
        <v>18</v>
      </c>
      <c r="G7" s="13">
        <v>1513</v>
      </c>
      <c r="H7" s="4">
        <v>3</v>
      </c>
      <c r="I7" s="4">
        <v>350</v>
      </c>
      <c r="J7" s="4">
        <f t="shared" si="1"/>
        <v>529550</v>
      </c>
      <c r="K7" s="4">
        <v>0</v>
      </c>
      <c r="L7" s="4">
        <f t="shared" si="2"/>
        <v>529550</v>
      </c>
      <c r="M7" s="4">
        <v>393380</v>
      </c>
      <c r="N7" s="4">
        <f t="shared" si="3"/>
        <v>136170</v>
      </c>
      <c r="O7" s="16">
        <f t="shared" si="4"/>
        <v>0.25714285714285712</v>
      </c>
      <c r="P7" s="19">
        <v>41974</v>
      </c>
      <c r="Q7" s="5">
        <f t="shared" si="5"/>
        <v>12</v>
      </c>
      <c r="R7" s="3" t="str">
        <f t="shared" si="6"/>
        <v>December</v>
      </c>
      <c r="S7" s="6">
        <f t="shared" si="7"/>
        <v>2014</v>
      </c>
    </row>
    <row r="8" spans="1:29" ht="12.75" x14ac:dyDescent="0.2">
      <c r="A8" s="2" t="s">
        <v>20</v>
      </c>
      <c r="B8" s="2" t="str">
        <f t="shared" si="0"/>
        <v>Midmarket</v>
      </c>
      <c r="C8" s="2" t="s">
        <v>19</v>
      </c>
      <c r="D8" s="2" t="str">
        <f>PROPER(Table1[[#This Row],[Country]])</f>
        <v>Germany</v>
      </c>
      <c r="E8" s="3" t="s">
        <v>23</v>
      </c>
      <c r="F8" s="3" t="s">
        <v>18</v>
      </c>
      <c r="G8" s="13">
        <v>921</v>
      </c>
      <c r="H8" s="4">
        <v>5</v>
      </c>
      <c r="I8" s="4">
        <v>15</v>
      </c>
      <c r="J8" s="4">
        <f t="shared" si="1"/>
        <v>13815</v>
      </c>
      <c r="K8" s="4">
        <v>0</v>
      </c>
      <c r="L8" s="4">
        <f t="shared" si="2"/>
        <v>13815</v>
      </c>
      <c r="M8" s="4">
        <v>9210</v>
      </c>
      <c r="N8" s="4">
        <f t="shared" si="3"/>
        <v>4605</v>
      </c>
      <c r="O8" s="16">
        <f t="shared" si="4"/>
        <v>0.33333333333333331</v>
      </c>
      <c r="P8" s="19">
        <v>41699</v>
      </c>
      <c r="Q8" s="5">
        <f t="shared" si="5"/>
        <v>3</v>
      </c>
      <c r="R8" s="3" t="str">
        <f t="shared" si="6"/>
        <v>March</v>
      </c>
      <c r="S8" s="6">
        <f t="shared" si="7"/>
        <v>2014</v>
      </c>
    </row>
    <row r="9" spans="1:29" ht="12.75" x14ac:dyDescent="0.2">
      <c r="A9" s="2" t="s">
        <v>24</v>
      </c>
      <c r="B9" s="2" t="str">
        <f t="shared" si="0"/>
        <v>Channel Partners</v>
      </c>
      <c r="C9" s="2" t="s">
        <v>16</v>
      </c>
      <c r="D9" s="2" t="str">
        <f>PROPER(Table1[[#This Row],[Country]])</f>
        <v>Canada</v>
      </c>
      <c r="E9" s="3" t="s">
        <v>23</v>
      </c>
      <c r="F9" s="3" t="s">
        <v>18</v>
      </c>
      <c r="G9" s="13">
        <v>2518</v>
      </c>
      <c r="H9" s="4">
        <v>5</v>
      </c>
      <c r="I9" s="4">
        <v>12</v>
      </c>
      <c r="J9" s="4">
        <f t="shared" si="1"/>
        <v>30216</v>
      </c>
      <c r="K9" s="4">
        <v>0</v>
      </c>
      <c r="L9" s="4">
        <f t="shared" si="2"/>
        <v>30216</v>
      </c>
      <c r="M9" s="4">
        <v>7554</v>
      </c>
      <c r="N9" s="4">
        <f t="shared" si="3"/>
        <v>22662</v>
      </c>
      <c r="O9" s="16">
        <f t="shared" si="4"/>
        <v>0.75</v>
      </c>
      <c r="P9" s="19">
        <v>41791</v>
      </c>
      <c r="Q9" s="5">
        <f t="shared" si="5"/>
        <v>6</v>
      </c>
      <c r="R9" s="3" t="str">
        <f t="shared" si="6"/>
        <v>June</v>
      </c>
      <c r="S9" s="6">
        <f t="shared" si="7"/>
        <v>2014</v>
      </c>
    </row>
    <row r="10" spans="1:29" ht="12.75" x14ac:dyDescent="0.2">
      <c r="A10" s="2" t="s">
        <v>15</v>
      </c>
      <c r="B10" s="2" t="str">
        <f t="shared" si="0"/>
        <v>Government</v>
      </c>
      <c r="C10" s="2" t="s">
        <v>21</v>
      </c>
      <c r="D10" s="2" t="str">
        <f>PROPER(Table1[[#This Row],[Country]])</f>
        <v>France</v>
      </c>
      <c r="E10" s="3" t="s">
        <v>23</v>
      </c>
      <c r="F10" s="3" t="s">
        <v>18</v>
      </c>
      <c r="G10" s="13">
        <v>1899</v>
      </c>
      <c r="H10" s="4">
        <v>5</v>
      </c>
      <c r="I10" s="4">
        <v>20</v>
      </c>
      <c r="J10" s="4">
        <f t="shared" si="1"/>
        <v>37980</v>
      </c>
      <c r="K10" s="4">
        <v>0</v>
      </c>
      <c r="L10" s="4">
        <f t="shared" si="2"/>
        <v>37980</v>
      </c>
      <c r="M10" s="4">
        <v>18990</v>
      </c>
      <c r="N10" s="4">
        <f t="shared" si="3"/>
        <v>18990</v>
      </c>
      <c r="O10" s="16">
        <f t="shared" si="4"/>
        <v>0.5</v>
      </c>
      <c r="P10" s="19">
        <v>41791</v>
      </c>
      <c r="Q10" s="5">
        <f t="shared" si="5"/>
        <v>6</v>
      </c>
      <c r="R10" s="3" t="str">
        <f t="shared" si="6"/>
        <v>June</v>
      </c>
      <c r="S10" s="6">
        <f t="shared" si="7"/>
        <v>2014</v>
      </c>
    </row>
    <row r="11" spans="1:29" ht="12.75" x14ac:dyDescent="0.2">
      <c r="A11" s="2" t="s">
        <v>24</v>
      </c>
      <c r="B11" s="2" t="str">
        <f t="shared" si="0"/>
        <v>Channel Partners</v>
      </c>
      <c r="C11" s="2" t="s">
        <v>21</v>
      </c>
      <c r="D11" s="2" t="str">
        <f>PROPER(Table1[[#This Row],[Country]])</f>
        <v>France</v>
      </c>
      <c r="E11" s="3" t="s">
        <v>23</v>
      </c>
      <c r="F11" s="3" t="s">
        <v>18</v>
      </c>
      <c r="G11" s="13">
        <v>1545</v>
      </c>
      <c r="H11" s="4">
        <v>5</v>
      </c>
      <c r="I11" s="4">
        <f>Analysis!$F$3</f>
        <v>118.87087517934003</v>
      </c>
      <c r="J11" s="4">
        <f t="shared" si="1"/>
        <v>183655.50215208036</v>
      </c>
      <c r="K11" s="4">
        <v>0</v>
      </c>
      <c r="L11" s="4">
        <f t="shared" si="2"/>
        <v>183655.50215208036</v>
      </c>
      <c r="M11" s="4">
        <f>Analysis!$L$3</f>
        <v>145676.69957081546</v>
      </c>
      <c r="N11" s="4">
        <f t="shared" si="3"/>
        <v>37978.802581264899</v>
      </c>
      <c r="O11" s="16">
        <f t="shared" si="4"/>
        <v>0.20679370961516655</v>
      </c>
      <c r="P11" s="19">
        <v>41791</v>
      </c>
      <c r="Q11" s="5">
        <f t="shared" si="5"/>
        <v>6</v>
      </c>
      <c r="R11" s="3" t="str">
        <f t="shared" si="6"/>
        <v>June</v>
      </c>
      <c r="S11" s="6">
        <f t="shared" si="7"/>
        <v>2014</v>
      </c>
    </row>
    <row r="12" spans="1:29" ht="12.75" x14ac:dyDescent="0.2">
      <c r="A12" s="2" t="s">
        <v>20</v>
      </c>
      <c r="B12" s="2" t="str">
        <f t="shared" si="0"/>
        <v>Midmarket</v>
      </c>
      <c r="C12" s="2" t="s">
        <v>22</v>
      </c>
      <c r="D12" s="2" t="str">
        <f>PROPER(Table1[[#This Row],[Country]])</f>
        <v>Mexico</v>
      </c>
      <c r="E12" s="3" t="s">
        <v>23</v>
      </c>
      <c r="F12" s="3" t="s">
        <v>18</v>
      </c>
      <c r="G12" s="13">
        <v>2470</v>
      </c>
      <c r="H12" s="4">
        <v>5</v>
      </c>
      <c r="I12" s="4">
        <v>15</v>
      </c>
      <c r="J12" s="4">
        <f t="shared" si="1"/>
        <v>37050</v>
      </c>
      <c r="K12" s="4">
        <v>0</v>
      </c>
      <c r="L12" s="4">
        <f t="shared" si="2"/>
        <v>37050</v>
      </c>
      <c r="M12" s="4">
        <v>24700</v>
      </c>
      <c r="N12" s="4">
        <f t="shared" si="3"/>
        <v>12350</v>
      </c>
      <c r="O12" s="16">
        <f t="shared" si="4"/>
        <v>0.33333333333333331</v>
      </c>
      <c r="P12" s="19">
        <v>41791</v>
      </c>
      <c r="Q12" s="5">
        <f t="shared" si="5"/>
        <v>6</v>
      </c>
      <c r="R12" s="3" t="str">
        <f t="shared" si="6"/>
        <v>June</v>
      </c>
      <c r="S12" s="6">
        <f t="shared" si="7"/>
        <v>2014</v>
      </c>
    </row>
    <row r="13" spans="1:29" ht="12.75" x14ac:dyDescent="0.2">
      <c r="A13" s="2" t="s">
        <v>25</v>
      </c>
      <c r="B13" s="2" t="str">
        <f t="shared" si="0"/>
        <v>Enterprise</v>
      </c>
      <c r="C13" s="2" t="s">
        <v>16</v>
      </c>
      <c r="D13" s="2" t="str">
        <f>PROPER(Table1[[#This Row],[Country]])</f>
        <v>Canada</v>
      </c>
      <c r="E13" s="3" t="s">
        <v>23</v>
      </c>
      <c r="F13" s="3" t="s">
        <v>18</v>
      </c>
      <c r="G13" s="13">
        <v>2665.5</v>
      </c>
      <c r="H13" s="4">
        <v>5</v>
      </c>
      <c r="I13" s="4">
        <v>125</v>
      </c>
      <c r="J13" s="4">
        <f t="shared" si="1"/>
        <v>333187.5</v>
      </c>
      <c r="K13" s="4">
        <v>0</v>
      </c>
      <c r="L13" s="4">
        <f t="shared" si="2"/>
        <v>333187.5</v>
      </c>
      <c r="M13" s="4">
        <v>319860</v>
      </c>
      <c r="N13" s="4">
        <f t="shared" si="3"/>
        <v>13327.5</v>
      </c>
      <c r="O13" s="16">
        <f t="shared" si="4"/>
        <v>0.04</v>
      </c>
      <c r="P13" s="19">
        <v>41821</v>
      </c>
      <c r="Q13" s="5">
        <f t="shared" si="5"/>
        <v>7</v>
      </c>
      <c r="R13" s="3" t="str">
        <f t="shared" si="6"/>
        <v>July</v>
      </c>
      <c r="S13" s="6">
        <f t="shared" si="7"/>
        <v>2014</v>
      </c>
    </row>
    <row r="14" spans="1:29" ht="12.75" x14ac:dyDescent="0.2">
      <c r="A14" s="2" t="s">
        <v>26</v>
      </c>
      <c r="B14" s="2" t="str">
        <f t="shared" si="0"/>
        <v>Small Business</v>
      </c>
      <c r="C14" s="2" t="s">
        <v>27</v>
      </c>
      <c r="D14" s="2" t="str">
        <f>PROPER(Table1[[#This Row],[Country]])</f>
        <v>Mexico</v>
      </c>
      <c r="E14" s="3" t="s">
        <v>23</v>
      </c>
      <c r="F14" s="3" t="s">
        <v>18</v>
      </c>
      <c r="G14" s="13">
        <v>958</v>
      </c>
      <c r="H14" s="4">
        <v>5</v>
      </c>
      <c r="I14" s="4">
        <v>300</v>
      </c>
      <c r="J14" s="4">
        <f t="shared" si="1"/>
        <v>287400</v>
      </c>
      <c r="K14" s="4">
        <v>0</v>
      </c>
      <c r="L14" s="4">
        <f t="shared" si="2"/>
        <v>287400</v>
      </c>
      <c r="M14" s="4">
        <v>239500</v>
      </c>
      <c r="N14" s="4">
        <f t="shared" si="3"/>
        <v>47900</v>
      </c>
      <c r="O14" s="16">
        <f t="shared" si="4"/>
        <v>0.16666666666666666</v>
      </c>
      <c r="P14" s="19">
        <v>41852</v>
      </c>
      <c r="Q14" s="5">
        <f t="shared" si="5"/>
        <v>8</v>
      </c>
      <c r="R14" s="3" t="str">
        <f t="shared" si="6"/>
        <v>August</v>
      </c>
      <c r="S14" s="6">
        <f t="shared" si="7"/>
        <v>2014</v>
      </c>
    </row>
    <row r="15" spans="1:29" ht="12.75" x14ac:dyDescent="0.2">
      <c r="A15" s="2" t="s">
        <v>15</v>
      </c>
      <c r="B15" s="2" t="str">
        <f t="shared" si="0"/>
        <v>Government</v>
      </c>
      <c r="C15" s="2" t="s">
        <v>19</v>
      </c>
      <c r="D15" s="2" t="str">
        <f>PROPER(Table1[[#This Row],[Country]])</f>
        <v>Germany</v>
      </c>
      <c r="E15" s="3" t="s">
        <v>23</v>
      </c>
      <c r="F15" s="3" t="s">
        <v>18</v>
      </c>
      <c r="G15" s="13">
        <v>2146</v>
      </c>
      <c r="H15" s="4">
        <v>5</v>
      </c>
      <c r="I15" s="4">
        <v>7</v>
      </c>
      <c r="J15" s="4">
        <f t="shared" si="1"/>
        <v>15022</v>
      </c>
      <c r="K15" s="4">
        <v>0</v>
      </c>
      <c r="L15" s="4">
        <f t="shared" si="2"/>
        <v>15022</v>
      </c>
      <c r="M15" s="4">
        <v>10730</v>
      </c>
      <c r="N15" s="4">
        <f t="shared" si="3"/>
        <v>4292</v>
      </c>
      <c r="O15" s="16">
        <f t="shared" si="4"/>
        <v>0.2857142857142857</v>
      </c>
      <c r="P15" s="19">
        <v>41883</v>
      </c>
      <c r="Q15" s="5">
        <f t="shared" si="5"/>
        <v>9</v>
      </c>
      <c r="R15" s="3" t="str">
        <f t="shared" si="6"/>
        <v>September</v>
      </c>
      <c r="S15" s="6">
        <f t="shared" si="7"/>
        <v>2014</v>
      </c>
    </row>
    <row r="16" spans="1:29" ht="12.75" x14ac:dyDescent="0.2">
      <c r="A16" s="2" t="s">
        <v>25</v>
      </c>
      <c r="B16" s="2" t="str">
        <f t="shared" si="0"/>
        <v>Enterprise</v>
      </c>
      <c r="C16" s="2" t="s">
        <v>16</v>
      </c>
      <c r="D16" s="2" t="str">
        <f>PROPER(Table1[[#This Row],[Country]])</f>
        <v>Canada</v>
      </c>
      <c r="E16" s="3" t="s">
        <v>23</v>
      </c>
      <c r="F16" s="3" t="s">
        <v>18</v>
      </c>
      <c r="G16" s="13">
        <v>345</v>
      </c>
      <c r="H16" s="4">
        <v>5</v>
      </c>
      <c r="I16" s="4">
        <v>125</v>
      </c>
      <c r="J16" s="4">
        <f t="shared" si="1"/>
        <v>43125</v>
      </c>
      <c r="K16" s="4">
        <v>0</v>
      </c>
      <c r="L16" s="4">
        <f t="shared" si="2"/>
        <v>43125</v>
      </c>
      <c r="M16" s="4">
        <v>41400</v>
      </c>
      <c r="N16" s="4">
        <f t="shared" si="3"/>
        <v>1725</v>
      </c>
      <c r="O16" s="16">
        <f t="shared" si="4"/>
        <v>0.04</v>
      </c>
      <c r="P16" s="19">
        <v>41548</v>
      </c>
      <c r="Q16" s="5">
        <f t="shared" si="5"/>
        <v>10</v>
      </c>
      <c r="R16" s="3" t="str">
        <f t="shared" si="6"/>
        <v>October</v>
      </c>
      <c r="S16" s="6">
        <f t="shared" si="7"/>
        <v>2013</v>
      </c>
    </row>
    <row r="17" spans="1:19" ht="12.75" x14ac:dyDescent="0.2">
      <c r="A17" s="2" t="s">
        <v>20</v>
      </c>
      <c r="B17" s="2" t="str">
        <f t="shared" si="0"/>
        <v>Midmarket</v>
      </c>
      <c r="C17" s="2" t="s">
        <v>71</v>
      </c>
      <c r="D17" s="2" t="str">
        <f>PROPER(Table1[[#This Row],[Country]])</f>
        <v>Usa</v>
      </c>
      <c r="E17" s="3" t="s">
        <v>23</v>
      </c>
      <c r="F17" s="3" t="s">
        <v>18</v>
      </c>
      <c r="G17" s="13">
        <v>615</v>
      </c>
      <c r="H17" s="4">
        <v>5</v>
      </c>
      <c r="I17" s="4">
        <v>15</v>
      </c>
      <c r="J17" s="4">
        <f t="shared" si="1"/>
        <v>9225</v>
      </c>
      <c r="K17" s="4">
        <v>0</v>
      </c>
      <c r="L17" s="4">
        <f t="shared" si="2"/>
        <v>9225</v>
      </c>
      <c r="M17" s="4">
        <v>6150</v>
      </c>
      <c r="N17" s="4">
        <f t="shared" si="3"/>
        <v>3075</v>
      </c>
      <c r="O17" s="16">
        <f t="shared" si="4"/>
        <v>0.33333333333333331</v>
      </c>
      <c r="P17" s="19">
        <v>41974</v>
      </c>
      <c r="Q17" s="5">
        <f t="shared" si="5"/>
        <v>12</v>
      </c>
      <c r="R17" s="3" t="str">
        <f t="shared" si="6"/>
        <v>December</v>
      </c>
      <c r="S17" s="6">
        <f t="shared" si="7"/>
        <v>2014</v>
      </c>
    </row>
    <row r="18" spans="1:19" ht="12.75" x14ac:dyDescent="0.2">
      <c r="A18" s="2" t="s">
        <v>15</v>
      </c>
      <c r="B18" s="2" t="str">
        <f t="shared" si="0"/>
        <v>Government</v>
      </c>
      <c r="C18" s="2" t="s">
        <v>16</v>
      </c>
      <c r="D18" s="2" t="str">
        <f>PROPER(Table1[[#This Row],[Country]])</f>
        <v>Canada</v>
      </c>
      <c r="E18" s="3" t="s">
        <v>28</v>
      </c>
      <c r="F18" s="3" t="s">
        <v>18</v>
      </c>
      <c r="G18" s="13">
        <v>292</v>
      </c>
      <c r="H18" s="4">
        <v>10</v>
      </c>
      <c r="I18" s="4">
        <f>Analysis!$F$3</f>
        <v>118.87087517934003</v>
      </c>
      <c r="J18" s="4">
        <f t="shared" si="1"/>
        <v>34710.295552367286</v>
      </c>
      <c r="K18" s="4">
        <v>0</v>
      </c>
      <c r="L18" s="4">
        <f t="shared" si="2"/>
        <v>34710.295552367286</v>
      </c>
      <c r="M18" s="4">
        <v>2920</v>
      </c>
      <c r="N18" s="4">
        <f t="shared" si="3"/>
        <v>31790.295552367286</v>
      </c>
      <c r="O18" s="16">
        <f t="shared" si="4"/>
        <v>0.91587510410003259</v>
      </c>
      <c r="P18" s="19">
        <v>41671</v>
      </c>
      <c r="Q18" s="5">
        <f t="shared" si="5"/>
        <v>2</v>
      </c>
      <c r="R18" s="3" t="str">
        <f t="shared" si="6"/>
        <v>February</v>
      </c>
      <c r="S18" s="6">
        <f t="shared" si="7"/>
        <v>2014</v>
      </c>
    </row>
    <row r="19" spans="1:19" ht="12.75" x14ac:dyDescent="0.2">
      <c r="A19" s="2" t="s">
        <v>20</v>
      </c>
      <c r="B19" s="2" t="str">
        <f t="shared" si="0"/>
        <v>Midmarket</v>
      </c>
      <c r="C19" s="2" t="s">
        <v>22</v>
      </c>
      <c r="D19" s="2" t="str">
        <f>PROPER(Table1[[#This Row],[Country]])</f>
        <v>Mexico</v>
      </c>
      <c r="E19" s="3" t="s">
        <v>28</v>
      </c>
      <c r="F19" s="3" t="s">
        <v>18</v>
      </c>
      <c r="G19" s="13">
        <v>974</v>
      </c>
      <c r="H19" s="4">
        <v>10</v>
      </c>
      <c r="I19" s="4">
        <v>15</v>
      </c>
      <c r="J19" s="4">
        <f t="shared" si="1"/>
        <v>14610</v>
      </c>
      <c r="K19" s="4">
        <v>0</v>
      </c>
      <c r="L19" s="4">
        <f t="shared" si="2"/>
        <v>14610</v>
      </c>
      <c r="M19" s="4">
        <v>9740</v>
      </c>
      <c r="N19" s="4">
        <f t="shared" si="3"/>
        <v>4870</v>
      </c>
      <c r="O19" s="16">
        <f t="shared" si="4"/>
        <v>0.33333333333333331</v>
      </c>
      <c r="P19" s="19">
        <v>41671</v>
      </c>
      <c r="Q19" s="5">
        <f t="shared" si="5"/>
        <v>2</v>
      </c>
      <c r="R19" s="3" t="str">
        <f t="shared" si="6"/>
        <v>February</v>
      </c>
      <c r="S19" s="6">
        <f t="shared" si="7"/>
        <v>2014</v>
      </c>
    </row>
    <row r="20" spans="1:19" ht="12.75" x14ac:dyDescent="0.2">
      <c r="A20" s="2" t="s">
        <v>24</v>
      </c>
      <c r="B20" s="2" t="str">
        <f t="shared" si="0"/>
        <v>Channel Partners</v>
      </c>
      <c r="C20" s="2" t="s">
        <v>16</v>
      </c>
      <c r="D20" s="2" t="str">
        <f>PROPER(Table1[[#This Row],[Country]])</f>
        <v>Canada</v>
      </c>
      <c r="E20" s="3" t="s">
        <v>28</v>
      </c>
      <c r="F20" s="3" t="s">
        <v>18</v>
      </c>
      <c r="G20" s="13">
        <v>2518</v>
      </c>
      <c r="H20" s="4">
        <v>10</v>
      </c>
      <c r="I20" s="4">
        <v>12</v>
      </c>
      <c r="J20" s="4">
        <f t="shared" si="1"/>
        <v>30216</v>
      </c>
      <c r="K20" s="4">
        <v>0</v>
      </c>
      <c r="L20" s="4">
        <f t="shared" si="2"/>
        <v>30216</v>
      </c>
      <c r="M20" s="4">
        <v>7554</v>
      </c>
      <c r="N20" s="4">
        <f t="shared" si="3"/>
        <v>22662</v>
      </c>
      <c r="O20" s="16">
        <f t="shared" si="4"/>
        <v>0.75</v>
      </c>
      <c r="P20" s="19">
        <v>41791</v>
      </c>
      <c r="Q20" s="5">
        <f t="shared" si="5"/>
        <v>6</v>
      </c>
      <c r="R20" s="3" t="str">
        <f t="shared" si="6"/>
        <v>June</v>
      </c>
      <c r="S20" s="6">
        <f t="shared" si="7"/>
        <v>2014</v>
      </c>
    </row>
    <row r="21" spans="1:19" ht="12.75" x14ac:dyDescent="0.2">
      <c r="A21" s="2" t="s">
        <v>15</v>
      </c>
      <c r="B21" s="2" t="str">
        <f t="shared" si="0"/>
        <v>Government</v>
      </c>
      <c r="C21" s="2" t="s">
        <v>19</v>
      </c>
      <c r="D21" s="2" t="str">
        <f>PROPER(Table1[[#This Row],[Country]])</f>
        <v>Germany</v>
      </c>
      <c r="E21" s="3" t="s">
        <v>28</v>
      </c>
      <c r="F21" s="3" t="s">
        <v>18</v>
      </c>
      <c r="G21" s="13">
        <v>1006</v>
      </c>
      <c r="H21" s="4">
        <v>10</v>
      </c>
      <c r="I21" s="4">
        <v>350</v>
      </c>
      <c r="J21" s="4">
        <f t="shared" si="1"/>
        <v>352100</v>
      </c>
      <c r="K21" s="4">
        <v>0</v>
      </c>
      <c r="L21" s="4">
        <f t="shared" si="2"/>
        <v>352100</v>
      </c>
      <c r="M21" s="4">
        <v>261560</v>
      </c>
      <c r="N21" s="4">
        <f t="shared" si="3"/>
        <v>90540</v>
      </c>
      <c r="O21" s="16">
        <f t="shared" si="4"/>
        <v>0.25714285714285712</v>
      </c>
      <c r="P21" s="19">
        <v>41791</v>
      </c>
      <c r="Q21" s="5">
        <f t="shared" si="5"/>
        <v>6</v>
      </c>
      <c r="R21" s="3" t="str">
        <f t="shared" si="6"/>
        <v>June</v>
      </c>
      <c r="S21" s="6">
        <f t="shared" si="7"/>
        <v>2014</v>
      </c>
    </row>
    <row r="22" spans="1:19" ht="12.75" x14ac:dyDescent="0.2">
      <c r="A22" s="2" t="s">
        <v>24</v>
      </c>
      <c r="B22" s="2" t="str">
        <f t="shared" si="0"/>
        <v>Channel Partners</v>
      </c>
      <c r="C22" s="2" t="s">
        <v>19</v>
      </c>
      <c r="D22" s="2" t="str">
        <f>PROPER(Table1[[#This Row],[Country]])</f>
        <v>Germany</v>
      </c>
      <c r="E22" s="3" t="s">
        <v>28</v>
      </c>
      <c r="F22" s="3" t="s">
        <v>18</v>
      </c>
      <c r="G22" s="13">
        <v>367</v>
      </c>
      <c r="H22" s="4">
        <v>10</v>
      </c>
      <c r="I22" s="4">
        <v>12</v>
      </c>
      <c r="J22" s="4">
        <f t="shared" si="1"/>
        <v>4404</v>
      </c>
      <c r="K22" s="4">
        <v>0</v>
      </c>
      <c r="L22" s="4">
        <f t="shared" si="2"/>
        <v>4404</v>
      </c>
      <c r="M22" s="4">
        <v>1101</v>
      </c>
      <c r="N22" s="4">
        <f t="shared" si="3"/>
        <v>3303</v>
      </c>
      <c r="O22" s="16">
        <f t="shared" si="4"/>
        <v>0.75</v>
      </c>
      <c r="P22" s="19">
        <v>41821</v>
      </c>
      <c r="Q22" s="5">
        <f t="shared" si="5"/>
        <v>7</v>
      </c>
      <c r="R22" s="3" t="str">
        <f t="shared" si="6"/>
        <v>July</v>
      </c>
      <c r="S22" s="6">
        <f t="shared" si="7"/>
        <v>2014</v>
      </c>
    </row>
    <row r="23" spans="1:19" ht="12.75" x14ac:dyDescent="0.2">
      <c r="A23" s="2" t="s">
        <v>15</v>
      </c>
      <c r="B23" s="2" t="str">
        <f t="shared" si="0"/>
        <v>Government</v>
      </c>
      <c r="C23" s="2" t="s">
        <v>22</v>
      </c>
      <c r="D23" s="2" t="str">
        <f>PROPER(Table1[[#This Row],[Country]])</f>
        <v>Mexico</v>
      </c>
      <c r="E23" s="3" t="s">
        <v>28</v>
      </c>
      <c r="F23" s="3" t="s">
        <v>18</v>
      </c>
      <c r="G23" s="13">
        <v>883</v>
      </c>
      <c r="H23" s="4">
        <v>10</v>
      </c>
      <c r="I23" s="4">
        <v>7</v>
      </c>
      <c r="J23" s="4">
        <f t="shared" si="1"/>
        <v>6181</v>
      </c>
      <c r="K23" s="4">
        <v>0</v>
      </c>
      <c r="L23" s="4">
        <f t="shared" si="2"/>
        <v>6181</v>
      </c>
      <c r="M23" s="4">
        <v>4415</v>
      </c>
      <c r="N23" s="4">
        <f t="shared" si="3"/>
        <v>1766</v>
      </c>
      <c r="O23" s="16">
        <f t="shared" si="4"/>
        <v>0.2857142857142857</v>
      </c>
      <c r="P23" s="19">
        <v>41852</v>
      </c>
      <c r="Q23" s="5">
        <f t="shared" si="5"/>
        <v>8</v>
      </c>
      <c r="R23" s="3" t="str">
        <f t="shared" si="6"/>
        <v>August</v>
      </c>
      <c r="S23" s="6">
        <f t="shared" si="7"/>
        <v>2014</v>
      </c>
    </row>
    <row r="24" spans="1:19" ht="12.75" x14ac:dyDescent="0.2">
      <c r="A24" s="2" t="s">
        <v>20</v>
      </c>
      <c r="B24" s="2" t="str">
        <f t="shared" si="0"/>
        <v>Midmarket</v>
      </c>
      <c r="C24" s="2" t="s">
        <v>21</v>
      </c>
      <c r="D24" s="2" t="str">
        <f>PROPER(Table1[[#This Row],[Country]])</f>
        <v>France</v>
      </c>
      <c r="E24" s="3" t="s">
        <v>28</v>
      </c>
      <c r="F24" s="3" t="s">
        <v>18</v>
      </c>
      <c r="G24" s="13">
        <v>549</v>
      </c>
      <c r="H24" s="4">
        <v>10</v>
      </c>
      <c r="I24" s="4">
        <v>15</v>
      </c>
      <c r="J24" s="4">
        <f t="shared" si="1"/>
        <v>8235</v>
      </c>
      <c r="K24" s="4">
        <v>0</v>
      </c>
      <c r="L24" s="4">
        <f t="shared" si="2"/>
        <v>8235</v>
      </c>
      <c r="M24" s="4">
        <v>5490</v>
      </c>
      <c r="N24" s="4">
        <f t="shared" si="3"/>
        <v>2745</v>
      </c>
      <c r="O24" s="16">
        <f t="shared" si="4"/>
        <v>0.33333333333333331</v>
      </c>
      <c r="P24" s="19">
        <v>41518</v>
      </c>
      <c r="Q24" s="5">
        <f t="shared" si="5"/>
        <v>9</v>
      </c>
      <c r="R24" s="3" t="str">
        <f t="shared" si="6"/>
        <v>September</v>
      </c>
      <c r="S24" s="6">
        <f t="shared" si="7"/>
        <v>2013</v>
      </c>
    </row>
    <row r="25" spans="1:19" ht="12.75" x14ac:dyDescent="0.2">
      <c r="A25" s="2" t="s">
        <v>29</v>
      </c>
      <c r="B25" s="2" t="str">
        <f t="shared" si="0"/>
        <v>Small Business</v>
      </c>
      <c r="C25" s="2" t="s">
        <v>22</v>
      </c>
      <c r="D25" s="2" t="str">
        <f>PROPER(Table1[[#This Row],[Country]])</f>
        <v>Mexico</v>
      </c>
      <c r="E25" s="3" t="s">
        <v>28</v>
      </c>
      <c r="F25" s="3" t="s">
        <v>18</v>
      </c>
      <c r="G25" s="13">
        <v>788</v>
      </c>
      <c r="H25" s="4">
        <v>10</v>
      </c>
      <c r="I25" s="4">
        <v>300</v>
      </c>
      <c r="J25" s="4">
        <f t="shared" si="1"/>
        <v>236400</v>
      </c>
      <c r="K25" s="4">
        <v>0</v>
      </c>
      <c r="L25" s="4">
        <f t="shared" si="2"/>
        <v>236400</v>
      </c>
      <c r="M25" s="4">
        <v>197000</v>
      </c>
      <c r="N25" s="4">
        <f t="shared" si="3"/>
        <v>39400</v>
      </c>
      <c r="O25" s="16">
        <f t="shared" si="4"/>
        <v>0.16666666666666666</v>
      </c>
      <c r="P25" s="19">
        <v>41518</v>
      </c>
      <c r="Q25" s="5">
        <f t="shared" si="5"/>
        <v>9</v>
      </c>
      <c r="R25" s="3" t="str">
        <f t="shared" si="6"/>
        <v>September</v>
      </c>
      <c r="S25" s="6">
        <f t="shared" si="7"/>
        <v>2013</v>
      </c>
    </row>
    <row r="26" spans="1:19" ht="12.75" x14ac:dyDescent="0.2">
      <c r="A26" s="2" t="s">
        <v>20</v>
      </c>
      <c r="B26" s="2" t="str">
        <f t="shared" si="0"/>
        <v>Midmarket</v>
      </c>
      <c r="C26" s="2" t="s">
        <v>22</v>
      </c>
      <c r="D26" s="2" t="str">
        <f>PROPER(Table1[[#This Row],[Country]])</f>
        <v>Mexico</v>
      </c>
      <c r="E26" s="3" t="s">
        <v>28</v>
      </c>
      <c r="F26" s="3" t="s">
        <v>18</v>
      </c>
      <c r="G26" s="13">
        <v>2472</v>
      </c>
      <c r="H26" s="4">
        <v>10</v>
      </c>
      <c r="I26" s="4">
        <v>15</v>
      </c>
      <c r="J26" s="4">
        <f t="shared" si="1"/>
        <v>37080</v>
      </c>
      <c r="K26" s="4">
        <v>0</v>
      </c>
      <c r="L26" s="4">
        <f t="shared" si="2"/>
        <v>37080</v>
      </c>
      <c r="M26" s="4">
        <v>24720</v>
      </c>
      <c r="N26" s="4">
        <f t="shared" si="3"/>
        <v>12360</v>
      </c>
      <c r="O26" s="16">
        <f t="shared" si="4"/>
        <v>0.33333333333333331</v>
      </c>
      <c r="P26" s="19">
        <v>41883</v>
      </c>
      <c r="Q26" s="5">
        <f t="shared" si="5"/>
        <v>9</v>
      </c>
      <c r="R26" s="3" t="str">
        <f t="shared" si="6"/>
        <v>September</v>
      </c>
      <c r="S26" s="6">
        <f t="shared" si="7"/>
        <v>2014</v>
      </c>
    </row>
    <row r="27" spans="1:19" ht="12.75" x14ac:dyDescent="0.2">
      <c r="A27" s="2" t="s">
        <v>15</v>
      </c>
      <c r="B27" s="2" t="str">
        <f t="shared" si="0"/>
        <v>Government</v>
      </c>
      <c r="C27" s="2" t="s">
        <v>71</v>
      </c>
      <c r="D27" s="2" t="str">
        <f>PROPER(Table1[[#This Row],[Country]])</f>
        <v>Usa</v>
      </c>
      <c r="E27" s="3" t="s">
        <v>28</v>
      </c>
      <c r="F27" s="3" t="s">
        <v>18</v>
      </c>
      <c r="G27" s="13">
        <v>1143</v>
      </c>
      <c r="H27" s="4">
        <v>10</v>
      </c>
      <c r="I27" s="4">
        <v>7</v>
      </c>
      <c r="J27" s="4">
        <f t="shared" si="1"/>
        <v>8001</v>
      </c>
      <c r="K27" s="4">
        <v>0</v>
      </c>
      <c r="L27" s="4">
        <f t="shared" si="2"/>
        <v>8001</v>
      </c>
      <c r="M27" s="4">
        <v>5715</v>
      </c>
      <c r="N27" s="4">
        <f t="shared" si="3"/>
        <v>2286</v>
      </c>
      <c r="O27" s="16">
        <f t="shared" si="4"/>
        <v>0.2857142857142857</v>
      </c>
      <c r="P27" s="19">
        <v>41913</v>
      </c>
      <c r="Q27" s="5">
        <f t="shared" si="5"/>
        <v>10</v>
      </c>
      <c r="R27" s="3" t="str">
        <f t="shared" si="6"/>
        <v>October</v>
      </c>
      <c r="S27" s="6">
        <f t="shared" si="7"/>
        <v>2014</v>
      </c>
    </row>
    <row r="28" spans="1:19" ht="12.75" x14ac:dyDescent="0.2">
      <c r="A28" s="2" t="s">
        <v>15</v>
      </c>
      <c r="B28" s="2" t="str">
        <f t="shared" si="0"/>
        <v>Government</v>
      </c>
      <c r="C28" s="2" t="s">
        <v>16</v>
      </c>
      <c r="D28" s="2" t="str">
        <f>PROPER(Table1[[#This Row],[Country]])</f>
        <v>Canada</v>
      </c>
      <c r="E28" s="3" t="s">
        <v>28</v>
      </c>
      <c r="F28" s="3" t="s">
        <v>18</v>
      </c>
      <c r="G28" s="13">
        <v>1725</v>
      </c>
      <c r="H28" s="4">
        <v>10</v>
      </c>
      <c r="I28" s="4">
        <v>350</v>
      </c>
      <c r="J28" s="4">
        <f t="shared" si="1"/>
        <v>603750</v>
      </c>
      <c r="K28" s="4">
        <v>0</v>
      </c>
      <c r="L28" s="4">
        <f t="shared" si="2"/>
        <v>603750</v>
      </c>
      <c r="M28" s="4">
        <v>448500</v>
      </c>
      <c r="N28" s="4">
        <f t="shared" si="3"/>
        <v>155250</v>
      </c>
      <c r="O28" s="16">
        <f t="shared" si="4"/>
        <v>0.25714285714285712</v>
      </c>
      <c r="P28" s="19">
        <v>41579</v>
      </c>
      <c r="Q28" s="5">
        <f t="shared" si="5"/>
        <v>11</v>
      </c>
      <c r="R28" s="3" t="str">
        <f t="shared" si="6"/>
        <v>November</v>
      </c>
      <c r="S28" s="6">
        <f t="shared" si="7"/>
        <v>2013</v>
      </c>
    </row>
    <row r="29" spans="1:19" ht="12.75" x14ac:dyDescent="0.2">
      <c r="A29" s="2" t="s">
        <v>24</v>
      </c>
      <c r="B29" s="2" t="str">
        <f t="shared" si="0"/>
        <v>Channel Partners</v>
      </c>
      <c r="C29" s="2" t="s">
        <v>71</v>
      </c>
      <c r="D29" s="2" t="str">
        <f>PROPER(Table1[[#This Row],[Country]])</f>
        <v>Usa</v>
      </c>
      <c r="E29" s="3" t="s">
        <v>28</v>
      </c>
      <c r="F29" s="3" t="s">
        <v>18</v>
      </c>
      <c r="G29" s="13">
        <v>912</v>
      </c>
      <c r="H29" s="4">
        <v>10</v>
      </c>
      <c r="I29" s="4">
        <v>12</v>
      </c>
      <c r="J29" s="4">
        <f t="shared" si="1"/>
        <v>10944</v>
      </c>
      <c r="K29" s="4">
        <v>0</v>
      </c>
      <c r="L29" s="4">
        <f t="shared" si="2"/>
        <v>10944</v>
      </c>
      <c r="M29" s="4">
        <v>2736</v>
      </c>
      <c r="N29" s="4">
        <f t="shared" si="3"/>
        <v>8208</v>
      </c>
      <c r="O29" s="16">
        <f t="shared" si="4"/>
        <v>0.75</v>
      </c>
      <c r="P29" s="19">
        <v>41579</v>
      </c>
      <c r="Q29" s="5">
        <f t="shared" si="5"/>
        <v>11</v>
      </c>
      <c r="R29" s="3" t="str">
        <f t="shared" si="6"/>
        <v>November</v>
      </c>
      <c r="S29" s="6">
        <f t="shared" si="7"/>
        <v>2013</v>
      </c>
    </row>
    <row r="30" spans="1:19" ht="12.75" x14ac:dyDescent="0.2">
      <c r="A30" s="2" t="s">
        <v>20</v>
      </c>
      <c r="B30" s="2" t="str">
        <f t="shared" si="0"/>
        <v>Midmarket</v>
      </c>
      <c r="C30" s="2" t="s">
        <v>16</v>
      </c>
      <c r="D30" s="2" t="str">
        <f>PROPER(Table1[[#This Row],[Country]])</f>
        <v>Canada</v>
      </c>
      <c r="E30" s="3" t="s">
        <v>28</v>
      </c>
      <c r="F30" s="3" t="s">
        <v>18</v>
      </c>
      <c r="G30" s="13">
        <v>2152</v>
      </c>
      <c r="H30" s="4">
        <v>10</v>
      </c>
      <c r="I30" s="4">
        <v>15</v>
      </c>
      <c r="J30" s="4">
        <f t="shared" si="1"/>
        <v>32280</v>
      </c>
      <c r="K30" s="4">
        <v>0</v>
      </c>
      <c r="L30" s="4">
        <f t="shared" si="2"/>
        <v>32280</v>
      </c>
      <c r="M30" s="4">
        <v>21520</v>
      </c>
      <c r="N30" s="4">
        <f t="shared" si="3"/>
        <v>10760</v>
      </c>
      <c r="O30" s="16">
        <f t="shared" si="4"/>
        <v>0.33333333333333331</v>
      </c>
      <c r="P30" s="19">
        <v>41609</v>
      </c>
      <c r="Q30" s="5">
        <f t="shared" si="5"/>
        <v>12</v>
      </c>
      <c r="R30" s="3" t="str">
        <f t="shared" si="6"/>
        <v>December</v>
      </c>
      <c r="S30" s="6">
        <f t="shared" si="7"/>
        <v>2013</v>
      </c>
    </row>
    <row r="31" spans="1:19" ht="12.75" x14ac:dyDescent="0.2">
      <c r="A31" s="2" t="s">
        <v>15</v>
      </c>
      <c r="B31" s="2" t="str">
        <f t="shared" si="0"/>
        <v>Government</v>
      </c>
      <c r="C31" s="2" t="s">
        <v>16</v>
      </c>
      <c r="D31" s="2" t="str">
        <f>PROPER(Table1[[#This Row],[Country]])</f>
        <v>Canada</v>
      </c>
      <c r="E31" s="3" t="s">
        <v>28</v>
      </c>
      <c r="F31" s="3" t="s">
        <v>18</v>
      </c>
      <c r="G31" s="13">
        <v>1817</v>
      </c>
      <c r="H31" s="4">
        <v>10</v>
      </c>
      <c r="I31" s="4">
        <v>20</v>
      </c>
      <c r="J31" s="4">
        <f t="shared" si="1"/>
        <v>36340</v>
      </c>
      <c r="K31" s="4">
        <v>0</v>
      </c>
      <c r="L31" s="4">
        <f t="shared" si="2"/>
        <v>36340</v>
      </c>
      <c r="M31" s="4">
        <v>18170</v>
      </c>
      <c r="N31" s="4">
        <f t="shared" si="3"/>
        <v>18170</v>
      </c>
      <c r="O31" s="16">
        <f t="shared" si="4"/>
        <v>0.5</v>
      </c>
      <c r="P31" s="19">
        <v>41974</v>
      </c>
      <c r="Q31" s="5">
        <f t="shared" si="5"/>
        <v>12</v>
      </c>
      <c r="R31" s="3" t="str">
        <f t="shared" si="6"/>
        <v>December</v>
      </c>
      <c r="S31" s="6">
        <f t="shared" si="7"/>
        <v>2014</v>
      </c>
    </row>
    <row r="32" spans="1:19" ht="12.75" x14ac:dyDescent="0.2">
      <c r="A32" s="2" t="s">
        <v>15</v>
      </c>
      <c r="B32" s="2" t="str">
        <f t="shared" si="0"/>
        <v>Government</v>
      </c>
      <c r="C32" s="2" t="s">
        <v>19</v>
      </c>
      <c r="D32" s="2" t="str">
        <f>PROPER(Table1[[#This Row],[Country]])</f>
        <v>Germany</v>
      </c>
      <c r="E32" s="3" t="s">
        <v>28</v>
      </c>
      <c r="F32" s="3" t="s">
        <v>18</v>
      </c>
      <c r="G32" s="13">
        <v>1513</v>
      </c>
      <c r="H32" s="4">
        <v>10</v>
      </c>
      <c r="I32" s="4">
        <v>350</v>
      </c>
      <c r="J32" s="4">
        <f t="shared" si="1"/>
        <v>529550</v>
      </c>
      <c r="K32" s="4">
        <v>0</v>
      </c>
      <c r="L32" s="4">
        <f t="shared" si="2"/>
        <v>529550</v>
      </c>
      <c r="M32" s="4">
        <v>393380</v>
      </c>
      <c r="N32" s="4">
        <f t="shared" si="3"/>
        <v>136170</v>
      </c>
      <c r="O32" s="16">
        <f t="shared" si="4"/>
        <v>0.25714285714285712</v>
      </c>
      <c r="P32" s="19">
        <v>41974</v>
      </c>
      <c r="Q32" s="5">
        <f t="shared" si="5"/>
        <v>12</v>
      </c>
      <c r="R32" s="3" t="str">
        <f t="shared" si="6"/>
        <v>December</v>
      </c>
      <c r="S32" s="6">
        <f t="shared" si="7"/>
        <v>2014</v>
      </c>
    </row>
    <row r="33" spans="1:19" ht="12.75" x14ac:dyDescent="0.2">
      <c r="A33" s="2" t="s">
        <v>15</v>
      </c>
      <c r="B33" s="2" t="str">
        <f t="shared" si="0"/>
        <v>Government</v>
      </c>
      <c r="C33" s="2" t="s">
        <v>22</v>
      </c>
      <c r="D33" s="2" t="str">
        <f>PROPER(Table1[[#This Row],[Country]])</f>
        <v>Mexico</v>
      </c>
      <c r="E33" s="3" t="s">
        <v>30</v>
      </c>
      <c r="F33" s="3" t="s">
        <v>18</v>
      </c>
      <c r="G33" s="13">
        <v>1493</v>
      </c>
      <c r="H33" s="4">
        <v>120</v>
      </c>
      <c r="I33" s="4">
        <v>7</v>
      </c>
      <c r="J33" s="4">
        <f t="shared" si="1"/>
        <v>10451</v>
      </c>
      <c r="K33" s="4">
        <v>0</v>
      </c>
      <c r="L33" s="4">
        <f t="shared" si="2"/>
        <v>10451</v>
      </c>
      <c r="M33" s="4">
        <v>7465</v>
      </c>
      <c r="N33" s="4">
        <f t="shared" si="3"/>
        <v>2986</v>
      </c>
      <c r="O33" s="16">
        <f t="shared" si="4"/>
        <v>0.2857142857142857</v>
      </c>
      <c r="P33" s="19">
        <v>41640</v>
      </c>
      <c r="Q33" s="5">
        <f t="shared" si="5"/>
        <v>1</v>
      </c>
      <c r="R33" s="3" t="str">
        <f t="shared" si="6"/>
        <v>January</v>
      </c>
      <c r="S33" s="6">
        <f t="shared" si="7"/>
        <v>2014</v>
      </c>
    </row>
    <row r="34" spans="1:19" ht="12.75" x14ac:dyDescent="0.2">
      <c r="A34" s="2" t="s">
        <v>25</v>
      </c>
      <c r="B34" s="2" t="str">
        <f t="shared" si="0"/>
        <v>Enterprise</v>
      </c>
      <c r="C34" s="2" t="s">
        <v>21</v>
      </c>
      <c r="D34" s="2" t="str">
        <f>PROPER(Table1[[#This Row],[Country]])</f>
        <v>France</v>
      </c>
      <c r="E34" s="3" t="s">
        <v>30</v>
      </c>
      <c r="F34" s="3" t="s">
        <v>18</v>
      </c>
      <c r="G34" s="13">
        <v>1804</v>
      </c>
      <c r="H34" s="4">
        <v>120</v>
      </c>
      <c r="I34" s="4">
        <v>125</v>
      </c>
      <c r="J34" s="4">
        <f t="shared" si="1"/>
        <v>225500</v>
      </c>
      <c r="K34" s="4">
        <v>0</v>
      </c>
      <c r="L34" s="4">
        <f t="shared" si="2"/>
        <v>225500</v>
      </c>
      <c r="M34" s="4">
        <v>216480</v>
      </c>
      <c r="N34" s="4">
        <f t="shared" si="3"/>
        <v>9020</v>
      </c>
      <c r="O34" s="16">
        <f t="shared" si="4"/>
        <v>0.04</v>
      </c>
      <c r="P34" s="19">
        <v>41671</v>
      </c>
      <c r="Q34" s="5">
        <f t="shared" si="5"/>
        <v>2</v>
      </c>
      <c r="R34" s="3" t="str">
        <f t="shared" si="6"/>
        <v>February</v>
      </c>
      <c r="S34" s="6">
        <f t="shared" si="7"/>
        <v>2014</v>
      </c>
    </row>
    <row r="35" spans="1:19" ht="12.75" x14ac:dyDescent="0.2">
      <c r="A35" s="2" t="s">
        <v>24</v>
      </c>
      <c r="B35" s="2" t="str">
        <f t="shared" si="0"/>
        <v>Channel Partners</v>
      </c>
      <c r="C35" s="2" t="s">
        <v>19</v>
      </c>
      <c r="D35" s="2" t="str">
        <f>PROPER(Table1[[#This Row],[Country]])</f>
        <v>Germany</v>
      </c>
      <c r="E35" s="3" t="s">
        <v>30</v>
      </c>
      <c r="F35" s="3" t="s">
        <v>18</v>
      </c>
      <c r="G35" s="13">
        <v>2161</v>
      </c>
      <c r="H35" s="4">
        <v>120</v>
      </c>
      <c r="I35" s="4">
        <v>12</v>
      </c>
      <c r="J35" s="4">
        <f t="shared" si="1"/>
        <v>25932</v>
      </c>
      <c r="K35" s="4">
        <v>0</v>
      </c>
      <c r="L35" s="4">
        <f t="shared" si="2"/>
        <v>25932</v>
      </c>
      <c r="M35" s="4">
        <v>6483</v>
      </c>
      <c r="N35" s="4">
        <f t="shared" si="3"/>
        <v>19449</v>
      </c>
      <c r="O35" s="16">
        <f t="shared" si="4"/>
        <v>0.75</v>
      </c>
      <c r="P35" s="19">
        <v>41699</v>
      </c>
      <c r="Q35" s="5">
        <f t="shared" si="5"/>
        <v>3</v>
      </c>
      <c r="R35" s="3" t="str">
        <f t="shared" si="6"/>
        <v>March</v>
      </c>
      <c r="S35" s="6">
        <f t="shared" si="7"/>
        <v>2014</v>
      </c>
    </row>
    <row r="36" spans="1:19" ht="12.75" x14ac:dyDescent="0.2">
      <c r="A36" s="2" t="s">
        <v>15</v>
      </c>
      <c r="B36" s="2" t="str">
        <f t="shared" si="0"/>
        <v>Government</v>
      </c>
      <c r="C36" s="2" t="s">
        <v>19</v>
      </c>
      <c r="D36" s="2" t="str">
        <f>PROPER(Table1[[#This Row],[Country]])</f>
        <v>Germany</v>
      </c>
      <c r="E36" s="3" t="s">
        <v>30</v>
      </c>
      <c r="F36" s="3" t="s">
        <v>18</v>
      </c>
      <c r="G36" s="13">
        <v>1006</v>
      </c>
      <c r="H36" s="4">
        <v>120</v>
      </c>
      <c r="I36" s="4">
        <v>350</v>
      </c>
      <c r="J36" s="4">
        <f t="shared" si="1"/>
        <v>352100</v>
      </c>
      <c r="K36" s="4">
        <v>0</v>
      </c>
      <c r="L36" s="4">
        <f t="shared" si="2"/>
        <v>352100</v>
      </c>
      <c r="M36" s="4">
        <v>261560</v>
      </c>
      <c r="N36" s="4">
        <f t="shared" si="3"/>
        <v>90540</v>
      </c>
      <c r="O36" s="16">
        <f t="shared" si="4"/>
        <v>0.25714285714285712</v>
      </c>
      <c r="P36" s="19">
        <v>41791</v>
      </c>
      <c r="Q36" s="5">
        <f t="shared" si="5"/>
        <v>6</v>
      </c>
      <c r="R36" s="3" t="str">
        <f t="shared" si="6"/>
        <v>June</v>
      </c>
      <c r="S36" s="6">
        <f t="shared" si="7"/>
        <v>2014</v>
      </c>
    </row>
    <row r="37" spans="1:19" ht="12.75" x14ac:dyDescent="0.2">
      <c r="A37" s="2" t="s">
        <v>24</v>
      </c>
      <c r="B37" s="2" t="str">
        <f t="shared" si="0"/>
        <v>Channel Partners</v>
      </c>
      <c r="C37" s="2" t="s">
        <v>19</v>
      </c>
      <c r="D37" s="2" t="str">
        <f>PROPER(Table1[[#This Row],[Country]])</f>
        <v>Germany</v>
      </c>
      <c r="E37" s="3" t="s">
        <v>30</v>
      </c>
      <c r="F37" s="3" t="s">
        <v>18</v>
      </c>
      <c r="G37" s="13">
        <v>1545</v>
      </c>
      <c r="H37" s="4">
        <v>120</v>
      </c>
      <c r="I37" s="4">
        <v>12</v>
      </c>
      <c r="J37" s="4">
        <f t="shared" si="1"/>
        <v>18540</v>
      </c>
      <c r="K37" s="4">
        <v>0</v>
      </c>
      <c r="L37" s="4">
        <f t="shared" si="2"/>
        <v>18540</v>
      </c>
      <c r="M37" s="4">
        <v>4635</v>
      </c>
      <c r="N37" s="4">
        <f t="shared" si="3"/>
        <v>13905</v>
      </c>
      <c r="O37" s="16">
        <f t="shared" si="4"/>
        <v>0.75</v>
      </c>
      <c r="P37" s="19">
        <v>41791</v>
      </c>
      <c r="Q37" s="5">
        <f t="shared" si="5"/>
        <v>6</v>
      </c>
      <c r="R37" s="3" t="str">
        <f t="shared" si="6"/>
        <v>June</v>
      </c>
      <c r="S37" s="6">
        <f t="shared" si="7"/>
        <v>2014</v>
      </c>
    </row>
    <row r="38" spans="1:19" ht="12.75" x14ac:dyDescent="0.2">
      <c r="A38" s="2" t="s">
        <v>25</v>
      </c>
      <c r="B38" s="2" t="str">
        <f t="shared" si="0"/>
        <v>Enterprise</v>
      </c>
      <c r="C38" s="2" t="s">
        <v>71</v>
      </c>
      <c r="D38" s="2" t="str">
        <f>PROPER(Table1[[#This Row],[Country]])</f>
        <v>Usa</v>
      </c>
      <c r="E38" s="3" t="s">
        <v>30</v>
      </c>
      <c r="F38" s="3" t="s">
        <v>18</v>
      </c>
      <c r="G38" s="13">
        <v>2821</v>
      </c>
      <c r="H38" s="4">
        <v>120</v>
      </c>
      <c r="I38" s="4">
        <v>125</v>
      </c>
      <c r="J38" s="4">
        <f t="shared" si="1"/>
        <v>352625</v>
      </c>
      <c r="K38" s="4">
        <v>0</v>
      </c>
      <c r="L38" s="4">
        <f t="shared" si="2"/>
        <v>352625</v>
      </c>
      <c r="M38" s="4">
        <v>338520</v>
      </c>
      <c r="N38" s="4">
        <f t="shared" si="3"/>
        <v>14105</v>
      </c>
      <c r="O38" s="16">
        <f t="shared" si="4"/>
        <v>0.04</v>
      </c>
      <c r="P38" s="19">
        <v>41852</v>
      </c>
      <c r="Q38" s="5">
        <f t="shared" si="5"/>
        <v>8</v>
      </c>
      <c r="R38" s="3" t="str">
        <f t="shared" si="6"/>
        <v>August</v>
      </c>
      <c r="S38" s="6">
        <f t="shared" si="7"/>
        <v>2014</v>
      </c>
    </row>
    <row r="39" spans="1:19" ht="12.75" x14ac:dyDescent="0.2">
      <c r="A39" s="2" t="s">
        <v>25</v>
      </c>
      <c r="B39" s="2" t="str">
        <f t="shared" si="0"/>
        <v>Enterprise</v>
      </c>
      <c r="C39" s="2" t="s">
        <v>16</v>
      </c>
      <c r="D39" s="2" t="str">
        <f>PROPER(Table1[[#This Row],[Country]])</f>
        <v>Canada</v>
      </c>
      <c r="E39" s="3" t="s">
        <v>30</v>
      </c>
      <c r="F39" s="3" t="s">
        <v>18</v>
      </c>
      <c r="G39" s="13">
        <v>345</v>
      </c>
      <c r="H39" s="4">
        <v>120</v>
      </c>
      <c r="I39" s="4">
        <v>125</v>
      </c>
      <c r="J39" s="4">
        <f t="shared" si="1"/>
        <v>43125</v>
      </c>
      <c r="K39" s="4">
        <v>0</v>
      </c>
      <c r="L39" s="4">
        <f t="shared" si="2"/>
        <v>43125</v>
      </c>
      <c r="M39" s="4">
        <v>41400</v>
      </c>
      <c r="N39" s="4">
        <f t="shared" si="3"/>
        <v>1725</v>
      </c>
      <c r="O39" s="16">
        <f t="shared" si="4"/>
        <v>0.04</v>
      </c>
      <c r="P39" s="19">
        <v>41548</v>
      </c>
      <c r="Q39" s="5">
        <f t="shared" si="5"/>
        <v>10</v>
      </c>
      <c r="R39" s="3" t="str">
        <f t="shared" si="6"/>
        <v>October</v>
      </c>
      <c r="S39" s="6">
        <f t="shared" si="7"/>
        <v>2013</v>
      </c>
    </row>
    <row r="40" spans="1:19" ht="12.75" x14ac:dyDescent="0.2">
      <c r="A40" s="2" t="s">
        <v>29</v>
      </c>
      <c r="B40" s="2" t="str">
        <f t="shared" si="0"/>
        <v>Small Business</v>
      </c>
      <c r="C40" s="2" t="s">
        <v>16</v>
      </c>
      <c r="D40" s="2" t="str">
        <f>PROPER(Table1[[#This Row],[Country]])</f>
        <v>Canada</v>
      </c>
      <c r="E40" s="3" t="s">
        <v>31</v>
      </c>
      <c r="F40" s="3" t="s">
        <v>18</v>
      </c>
      <c r="G40" s="13">
        <v>2001</v>
      </c>
      <c r="H40" s="4">
        <v>250</v>
      </c>
      <c r="I40" s="4">
        <v>300</v>
      </c>
      <c r="J40" s="4">
        <f t="shared" si="1"/>
        <v>600300</v>
      </c>
      <c r="K40" s="4">
        <v>0</v>
      </c>
      <c r="L40" s="4">
        <f t="shared" si="2"/>
        <v>600300</v>
      </c>
      <c r="M40" s="4">
        <v>500250</v>
      </c>
      <c r="N40" s="4">
        <f t="shared" si="3"/>
        <v>100050</v>
      </c>
      <c r="O40" s="16">
        <f t="shared" si="4"/>
        <v>0.16666666666666666</v>
      </c>
      <c r="P40" s="19">
        <v>41671</v>
      </c>
      <c r="Q40" s="5">
        <f t="shared" si="5"/>
        <v>2</v>
      </c>
      <c r="R40" s="3" t="str">
        <f t="shared" si="6"/>
        <v>February</v>
      </c>
      <c r="S40" s="6">
        <f t="shared" si="7"/>
        <v>2014</v>
      </c>
    </row>
    <row r="41" spans="1:19" ht="12.75" x14ac:dyDescent="0.2">
      <c r="A41" s="2" t="s">
        <v>24</v>
      </c>
      <c r="B41" s="2" t="str">
        <f t="shared" si="0"/>
        <v>Channel Partners</v>
      </c>
      <c r="C41" s="2" t="s">
        <v>19</v>
      </c>
      <c r="D41" s="2" t="str">
        <f>PROPER(Table1[[#This Row],[Country]])</f>
        <v>Germany</v>
      </c>
      <c r="E41" s="3" t="s">
        <v>31</v>
      </c>
      <c r="F41" s="3" t="s">
        <v>18</v>
      </c>
      <c r="G41" s="13">
        <v>2838</v>
      </c>
      <c r="H41" s="4">
        <v>250</v>
      </c>
      <c r="I41" s="4">
        <v>12</v>
      </c>
      <c r="J41" s="4">
        <f t="shared" si="1"/>
        <v>34056</v>
      </c>
      <c r="K41" s="4">
        <v>0</v>
      </c>
      <c r="L41" s="4">
        <f t="shared" si="2"/>
        <v>34056</v>
      </c>
      <c r="M41" s="4">
        <v>8514</v>
      </c>
      <c r="N41" s="4">
        <f t="shared" si="3"/>
        <v>25542</v>
      </c>
      <c r="O41" s="16">
        <f t="shared" si="4"/>
        <v>0.75</v>
      </c>
      <c r="P41" s="19">
        <v>41730</v>
      </c>
      <c r="Q41" s="5">
        <f t="shared" si="5"/>
        <v>4</v>
      </c>
      <c r="R41" s="3" t="str">
        <f t="shared" si="6"/>
        <v>April</v>
      </c>
      <c r="S41" s="6">
        <f t="shared" si="7"/>
        <v>2014</v>
      </c>
    </row>
    <row r="42" spans="1:19" ht="12.75" x14ac:dyDescent="0.2">
      <c r="A42" s="2" t="s">
        <v>20</v>
      </c>
      <c r="B42" s="2" t="str">
        <f t="shared" si="0"/>
        <v>Midmarket</v>
      </c>
      <c r="C42" s="2" t="s">
        <v>19</v>
      </c>
      <c r="D42" s="2" t="str">
        <f>PROPER(Table1[[#This Row],[Country]])</f>
        <v>Germany</v>
      </c>
      <c r="E42" s="3" t="s">
        <v>31</v>
      </c>
      <c r="F42" s="3" t="s">
        <v>18</v>
      </c>
      <c r="G42" s="14">
        <f>Analysis!C3</f>
        <v>1607.4792560801145</v>
      </c>
      <c r="H42" s="4">
        <f>Analysis!I3</f>
        <v>96.257510729613728</v>
      </c>
      <c r="I42" s="4">
        <f>Analysis!$F$3</f>
        <v>118.87087517934003</v>
      </c>
      <c r="J42" s="4">
        <f t="shared" si="1"/>
        <v>191082.46600287766</v>
      </c>
      <c r="K42" s="4">
        <v>0</v>
      </c>
      <c r="L42" s="4">
        <f t="shared" si="2"/>
        <v>191082.46600287766</v>
      </c>
      <c r="M42" s="4">
        <v>21780</v>
      </c>
      <c r="N42" s="4">
        <f t="shared" si="3"/>
        <v>169302.46600287766</v>
      </c>
      <c r="O42" s="16">
        <f t="shared" si="4"/>
        <v>0.88601779924866575</v>
      </c>
      <c r="P42" s="19">
        <v>41791</v>
      </c>
      <c r="Q42" s="5">
        <f t="shared" si="5"/>
        <v>6</v>
      </c>
      <c r="R42" s="3" t="str">
        <f t="shared" si="6"/>
        <v>June</v>
      </c>
      <c r="S42" s="6">
        <f t="shared" si="7"/>
        <v>2014</v>
      </c>
    </row>
    <row r="43" spans="1:19" ht="12.75" x14ac:dyDescent="0.2">
      <c r="A43" s="2" t="s">
        <v>20</v>
      </c>
      <c r="B43" s="2" t="str">
        <f t="shared" si="0"/>
        <v>Midmarket</v>
      </c>
      <c r="C43" s="2" t="s">
        <v>19</v>
      </c>
      <c r="D43" s="2" t="str">
        <f>PROPER(Table1[[#This Row],[Country]])</f>
        <v>Germany</v>
      </c>
      <c r="E43" s="3" t="s">
        <v>31</v>
      </c>
      <c r="F43" s="3" t="s">
        <v>18</v>
      </c>
      <c r="G43" s="13">
        <v>888</v>
      </c>
      <c r="H43" s="4">
        <v>250</v>
      </c>
      <c r="I43" s="4">
        <v>15</v>
      </c>
      <c r="J43" s="4">
        <f t="shared" si="1"/>
        <v>13320</v>
      </c>
      <c r="K43" s="4">
        <v>0</v>
      </c>
      <c r="L43" s="4">
        <f t="shared" si="2"/>
        <v>13320</v>
      </c>
      <c r="M43" s="4">
        <v>8880</v>
      </c>
      <c r="N43" s="4">
        <f t="shared" si="3"/>
        <v>4440</v>
      </c>
      <c r="O43" s="16">
        <f t="shared" si="4"/>
        <v>0.33333333333333331</v>
      </c>
      <c r="P43" s="19">
        <v>41791</v>
      </c>
      <c r="Q43" s="5">
        <f t="shared" si="5"/>
        <v>6</v>
      </c>
      <c r="R43" s="3" t="str">
        <f t="shared" si="6"/>
        <v>June</v>
      </c>
      <c r="S43" s="6">
        <f t="shared" si="7"/>
        <v>2014</v>
      </c>
    </row>
    <row r="44" spans="1:19" ht="12.75" x14ac:dyDescent="0.2">
      <c r="A44" s="2" t="s">
        <v>15</v>
      </c>
      <c r="B44" s="2" t="str">
        <f t="shared" si="0"/>
        <v>Government</v>
      </c>
      <c r="C44" s="2" t="s">
        <v>21</v>
      </c>
      <c r="D44" s="2" t="str">
        <f>PROPER(Table1[[#This Row],[Country]])</f>
        <v>France</v>
      </c>
      <c r="E44" s="3" t="s">
        <v>31</v>
      </c>
      <c r="F44" s="3" t="s">
        <v>18</v>
      </c>
      <c r="G44" s="13">
        <v>1527</v>
      </c>
      <c r="H44" s="4">
        <v>250</v>
      </c>
      <c r="I44" s="4">
        <v>350</v>
      </c>
      <c r="J44" s="4">
        <f t="shared" si="1"/>
        <v>534450</v>
      </c>
      <c r="K44" s="4">
        <v>0</v>
      </c>
      <c r="L44" s="4">
        <f t="shared" si="2"/>
        <v>534450</v>
      </c>
      <c r="M44" s="4">
        <v>397020</v>
      </c>
      <c r="N44" s="4">
        <f t="shared" si="3"/>
        <v>137430</v>
      </c>
      <c r="O44" s="16">
        <f t="shared" si="4"/>
        <v>0.25714285714285712</v>
      </c>
      <c r="P44" s="19">
        <v>41518</v>
      </c>
      <c r="Q44" s="5">
        <f t="shared" si="5"/>
        <v>9</v>
      </c>
      <c r="R44" s="3" t="str">
        <f t="shared" si="6"/>
        <v>September</v>
      </c>
      <c r="S44" s="6">
        <f t="shared" si="7"/>
        <v>2013</v>
      </c>
    </row>
    <row r="45" spans="1:19" ht="12.75" x14ac:dyDescent="0.2">
      <c r="A45" s="2" t="s">
        <v>29</v>
      </c>
      <c r="B45" s="2" t="str">
        <f t="shared" si="0"/>
        <v>Small Business</v>
      </c>
      <c r="C45" s="2" t="s">
        <v>21</v>
      </c>
      <c r="D45" s="2" t="str">
        <f>PROPER(Table1[[#This Row],[Country]])</f>
        <v>France</v>
      </c>
      <c r="E45" s="3" t="s">
        <v>31</v>
      </c>
      <c r="F45" s="3" t="s">
        <v>18</v>
      </c>
      <c r="G45" s="13">
        <v>2151</v>
      </c>
      <c r="H45" s="4">
        <v>250</v>
      </c>
      <c r="I45" s="4">
        <v>300</v>
      </c>
      <c r="J45" s="4">
        <f t="shared" si="1"/>
        <v>645300</v>
      </c>
      <c r="K45" s="4">
        <v>0</v>
      </c>
      <c r="L45" s="4">
        <f t="shared" si="2"/>
        <v>645300</v>
      </c>
      <c r="M45" s="4">
        <v>537750</v>
      </c>
      <c r="N45" s="4">
        <f t="shared" si="3"/>
        <v>107550</v>
      </c>
      <c r="O45" s="16">
        <f t="shared" si="4"/>
        <v>0.16666666666666666</v>
      </c>
      <c r="P45" s="19">
        <v>41883</v>
      </c>
      <c r="Q45" s="5">
        <f t="shared" si="5"/>
        <v>9</v>
      </c>
      <c r="R45" s="3" t="str">
        <f t="shared" si="6"/>
        <v>September</v>
      </c>
      <c r="S45" s="6">
        <f t="shared" si="7"/>
        <v>2014</v>
      </c>
    </row>
    <row r="46" spans="1:19" ht="12.75" x14ac:dyDescent="0.2">
      <c r="A46" s="2" t="s">
        <v>15</v>
      </c>
      <c r="B46" s="2" t="str">
        <f t="shared" si="0"/>
        <v>Government</v>
      </c>
      <c r="C46" s="2" t="s">
        <v>16</v>
      </c>
      <c r="D46" s="2" t="str">
        <f>PROPER(Table1[[#This Row],[Country]])</f>
        <v>Canada</v>
      </c>
      <c r="E46" s="3" t="s">
        <v>31</v>
      </c>
      <c r="F46" s="3" t="s">
        <v>18</v>
      </c>
      <c r="G46" s="13">
        <v>1817</v>
      </c>
      <c r="H46" s="4">
        <v>250</v>
      </c>
      <c r="I46" s="4">
        <v>20</v>
      </c>
      <c r="J46" s="4">
        <f t="shared" si="1"/>
        <v>36340</v>
      </c>
      <c r="K46" s="4">
        <v>0</v>
      </c>
      <c r="L46" s="4">
        <f t="shared" si="2"/>
        <v>36340</v>
      </c>
      <c r="M46" s="4">
        <v>18170</v>
      </c>
      <c r="N46" s="4">
        <f t="shared" si="3"/>
        <v>18170</v>
      </c>
      <c r="O46" s="16">
        <f t="shared" si="4"/>
        <v>0.5</v>
      </c>
      <c r="P46" s="19">
        <v>41974</v>
      </c>
      <c r="Q46" s="5">
        <f t="shared" si="5"/>
        <v>12</v>
      </c>
      <c r="R46" s="3" t="str">
        <f t="shared" si="6"/>
        <v>December</v>
      </c>
      <c r="S46" s="6">
        <f t="shared" si="7"/>
        <v>2014</v>
      </c>
    </row>
    <row r="47" spans="1:19" ht="12.75" x14ac:dyDescent="0.2">
      <c r="A47" s="2" t="s">
        <v>15</v>
      </c>
      <c r="B47" s="2" t="str">
        <f t="shared" si="0"/>
        <v>Government</v>
      </c>
      <c r="C47" s="2" t="s">
        <v>21</v>
      </c>
      <c r="D47" s="2" t="str">
        <f>PROPER(Table1[[#This Row],[Country]])</f>
        <v>France</v>
      </c>
      <c r="E47" s="3" t="s">
        <v>32</v>
      </c>
      <c r="F47" s="3" t="s">
        <v>18</v>
      </c>
      <c r="G47" s="13">
        <v>2750</v>
      </c>
      <c r="H47" s="4">
        <v>260</v>
      </c>
      <c r="I47" s="4">
        <v>350</v>
      </c>
      <c r="J47" s="4">
        <f t="shared" si="1"/>
        <v>962500</v>
      </c>
      <c r="K47" s="4">
        <v>0</v>
      </c>
      <c r="L47" s="4">
        <f t="shared" si="2"/>
        <v>962500</v>
      </c>
      <c r="M47" s="4">
        <v>715000</v>
      </c>
      <c r="N47" s="4">
        <f t="shared" si="3"/>
        <v>247500</v>
      </c>
      <c r="O47" s="16">
        <f t="shared" si="4"/>
        <v>0.25714285714285712</v>
      </c>
      <c r="P47" s="19">
        <v>41671</v>
      </c>
      <c r="Q47" s="5">
        <f t="shared" si="5"/>
        <v>2</v>
      </c>
      <c r="R47" s="3" t="str">
        <f t="shared" si="6"/>
        <v>February</v>
      </c>
      <c r="S47" s="6">
        <f t="shared" si="7"/>
        <v>2014</v>
      </c>
    </row>
    <row r="48" spans="1:19" ht="12.75" x14ac:dyDescent="0.2">
      <c r="A48" s="2" t="s">
        <v>24</v>
      </c>
      <c r="B48" s="2" t="str">
        <f t="shared" si="0"/>
        <v>Channel Partners</v>
      </c>
      <c r="C48" s="2" t="s">
        <v>71</v>
      </c>
      <c r="D48" s="2" t="str">
        <f>PROPER(Table1[[#This Row],[Country]])</f>
        <v>Usa</v>
      </c>
      <c r="E48" s="3" t="s">
        <v>32</v>
      </c>
      <c r="F48" s="3" t="s">
        <v>18</v>
      </c>
      <c r="G48" s="13">
        <v>1953</v>
      </c>
      <c r="H48" s="4">
        <v>260</v>
      </c>
      <c r="I48" s="4">
        <v>12</v>
      </c>
      <c r="J48" s="4">
        <f t="shared" si="1"/>
        <v>23436</v>
      </c>
      <c r="K48" s="4">
        <v>0</v>
      </c>
      <c r="L48" s="4">
        <f t="shared" si="2"/>
        <v>23436</v>
      </c>
      <c r="M48" s="4">
        <v>5859</v>
      </c>
      <c r="N48" s="4">
        <f t="shared" si="3"/>
        <v>17577</v>
      </c>
      <c r="O48" s="16">
        <f t="shared" si="4"/>
        <v>0.75</v>
      </c>
      <c r="P48" s="19">
        <v>41730</v>
      </c>
      <c r="Q48" s="5">
        <f t="shared" si="5"/>
        <v>4</v>
      </c>
      <c r="R48" s="3" t="str">
        <f t="shared" si="6"/>
        <v>April</v>
      </c>
      <c r="S48" s="6">
        <f t="shared" si="7"/>
        <v>2014</v>
      </c>
    </row>
    <row r="49" spans="1:19" ht="12.75" x14ac:dyDescent="0.2">
      <c r="A49" s="2" t="s">
        <v>25</v>
      </c>
      <c r="B49" s="2" t="str">
        <f t="shared" si="0"/>
        <v>Enterprise</v>
      </c>
      <c r="C49" s="2" t="s">
        <v>19</v>
      </c>
      <c r="D49" s="2" t="str">
        <f>PROPER(Table1[[#This Row],[Country]])</f>
        <v>Germany</v>
      </c>
      <c r="E49" s="3" t="s">
        <v>32</v>
      </c>
      <c r="F49" s="3" t="s">
        <v>18</v>
      </c>
      <c r="G49" s="13">
        <v>4219.5</v>
      </c>
      <c r="H49" s="4">
        <v>260</v>
      </c>
      <c r="I49" s="4">
        <v>125</v>
      </c>
      <c r="J49" s="4">
        <f t="shared" si="1"/>
        <v>527437.5</v>
      </c>
      <c r="K49" s="4">
        <v>0</v>
      </c>
      <c r="L49" s="4">
        <f t="shared" si="2"/>
        <v>527437.5</v>
      </c>
      <c r="M49" s="4">
        <v>506340</v>
      </c>
      <c r="N49" s="4">
        <f t="shared" si="3"/>
        <v>21097.5</v>
      </c>
      <c r="O49" s="16">
        <f t="shared" si="4"/>
        <v>0.04</v>
      </c>
      <c r="P49" s="19">
        <v>41730</v>
      </c>
      <c r="Q49" s="5">
        <f t="shared" si="5"/>
        <v>4</v>
      </c>
      <c r="R49" s="3" t="str">
        <f t="shared" si="6"/>
        <v>April</v>
      </c>
      <c r="S49" s="6">
        <f t="shared" si="7"/>
        <v>2014</v>
      </c>
    </row>
    <row r="50" spans="1:19" ht="12.75" x14ac:dyDescent="0.2">
      <c r="A50" s="2" t="s">
        <v>15</v>
      </c>
      <c r="B50" s="2" t="str">
        <f t="shared" si="0"/>
        <v>Government</v>
      </c>
      <c r="C50" s="2" t="s">
        <v>21</v>
      </c>
      <c r="D50" s="2" t="str">
        <f>PROPER(Table1[[#This Row],[Country]])</f>
        <v>France</v>
      </c>
      <c r="E50" s="3" t="s">
        <v>32</v>
      </c>
      <c r="F50" s="3" t="s">
        <v>18</v>
      </c>
      <c r="G50" s="13">
        <v>1899</v>
      </c>
      <c r="H50" s="4">
        <v>260</v>
      </c>
      <c r="I50" s="4">
        <v>20</v>
      </c>
      <c r="J50" s="4">
        <f t="shared" si="1"/>
        <v>37980</v>
      </c>
      <c r="K50" s="4">
        <v>0</v>
      </c>
      <c r="L50" s="4">
        <f t="shared" si="2"/>
        <v>37980</v>
      </c>
      <c r="M50" s="4">
        <v>18990</v>
      </c>
      <c r="N50" s="4">
        <f t="shared" si="3"/>
        <v>18990</v>
      </c>
      <c r="O50" s="16">
        <f t="shared" si="4"/>
        <v>0.5</v>
      </c>
      <c r="P50" s="19">
        <v>41791</v>
      </c>
      <c r="Q50" s="5">
        <f t="shared" si="5"/>
        <v>6</v>
      </c>
      <c r="R50" s="3" t="str">
        <f t="shared" si="6"/>
        <v>June</v>
      </c>
      <c r="S50" s="6">
        <f t="shared" si="7"/>
        <v>2014</v>
      </c>
    </row>
    <row r="51" spans="1:19" ht="12.75" x14ac:dyDescent="0.2">
      <c r="A51" s="2" t="s">
        <v>15</v>
      </c>
      <c r="B51" s="2" t="str">
        <f t="shared" si="0"/>
        <v>Government</v>
      </c>
      <c r="C51" s="2" t="s">
        <v>19</v>
      </c>
      <c r="D51" s="2" t="str">
        <f>PROPER(Table1[[#This Row],[Country]])</f>
        <v>Germany</v>
      </c>
      <c r="E51" s="3" t="s">
        <v>32</v>
      </c>
      <c r="F51" s="3" t="s">
        <v>18</v>
      </c>
      <c r="G51" s="13">
        <v>1686</v>
      </c>
      <c r="H51" s="4">
        <v>260</v>
      </c>
      <c r="I51" s="4">
        <v>7</v>
      </c>
      <c r="J51" s="4">
        <f t="shared" si="1"/>
        <v>11802</v>
      </c>
      <c r="K51" s="4">
        <v>0</v>
      </c>
      <c r="L51" s="4">
        <f t="shared" si="2"/>
        <v>11802</v>
      </c>
      <c r="M51" s="4">
        <v>8430</v>
      </c>
      <c r="N51" s="4">
        <f t="shared" si="3"/>
        <v>3372</v>
      </c>
      <c r="O51" s="16">
        <f t="shared" si="4"/>
        <v>0.2857142857142857</v>
      </c>
      <c r="P51" s="19">
        <v>41821</v>
      </c>
      <c r="Q51" s="5">
        <f t="shared" si="5"/>
        <v>7</v>
      </c>
      <c r="R51" s="3" t="str">
        <f t="shared" si="6"/>
        <v>July</v>
      </c>
      <c r="S51" s="6">
        <f t="shared" si="7"/>
        <v>2014</v>
      </c>
    </row>
    <row r="52" spans="1:19" ht="12.75" x14ac:dyDescent="0.2">
      <c r="A52" s="2" t="s">
        <v>24</v>
      </c>
      <c r="B52" s="2" t="str">
        <f t="shared" si="0"/>
        <v>Channel Partners</v>
      </c>
      <c r="C52" s="2" t="s">
        <v>71</v>
      </c>
      <c r="D52" s="2" t="str">
        <f>PROPER(Table1[[#This Row],[Country]])</f>
        <v>Usa</v>
      </c>
      <c r="E52" s="3" t="s">
        <v>32</v>
      </c>
      <c r="F52" s="3" t="s">
        <v>18</v>
      </c>
      <c r="G52" s="13">
        <v>2141</v>
      </c>
      <c r="H52" s="4">
        <v>260</v>
      </c>
      <c r="I52" s="4">
        <v>12</v>
      </c>
      <c r="J52" s="4">
        <f t="shared" si="1"/>
        <v>25692</v>
      </c>
      <c r="K52" s="4">
        <v>0</v>
      </c>
      <c r="L52" s="4">
        <f t="shared" si="2"/>
        <v>25692</v>
      </c>
      <c r="M52" s="4">
        <v>6423</v>
      </c>
      <c r="N52" s="4">
        <f t="shared" si="3"/>
        <v>19269</v>
      </c>
      <c r="O52" s="16">
        <f t="shared" si="4"/>
        <v>0.75</v>
      </c>
      <c r="P52" s="19">
        <v>41852</v>
      </c>
      <c r="Q52" s="5">
        <f t="shared" si="5"/>
        <v>8</v>
      </c>
      <c r="R52" s="3" t="str">
        <f t="shared" si="6"/>
        <v>August</v>
      </c>
      <c r="S52" s="6">
        <f t="shared" si="7"/>
        <v>2014</v>
      </c>
    </row>
    <row r="53" spans="1:19" ht="12.75" x14ac:dyDescent="0.2">
      <c r="A53" s="2" t="s">
        <v>15</v>
      </c>
      <c r="B53" s="2" t="str">
        <f t="shared" si="0"/>
        <v>Government</v>
      </c>
      <c r="C53" s="2" t="s">
        <v>71</v>
      </c>
      <c r="D53" s="2" t="str">
        <f>PROPER(Table1[[#This Row],[Country]])</f>
        <v>Usa</v>
      </c>
      <c r="E53" s="3" t="s">
        <v>32</v>
      </c>
      <c r="F53" s="3" t="s">
        <v>18</v>
      </c>
      <c r="G53" s="13">
        <v>1143</v>
      </c>
      <c r="H53" s="4">
        <v>260</v>
      </c>
      <c r="I53" s="4">
        <v>7</v>
      </c>
      <c r="J53" s="4">
        <f t="shared" si="1"/>
        <v>8001</v>
      </c>
      <c r="K53" s="4">
        <v>0</v>
      </c>
      <c r="L53" s="4">
        <f t="shared" si="2"/>
        <v>8001</v>
      </c>
      <c r="M53" s="4">
        <v>5715</v>
      </c>
      <c r="N53" s="4">
        <f t="shared" si="3"/>
        <v>2286</v>
      </c>
      <c r="O53" s="16">
        <f t="shared" si="4"/>
        <v>0.2857142857142857</v>
      </c>
      <c r="P53" s="19">
        <v>41913</v>
      </c>
      <c r="Q53" s="5">
        <f t="shared" si="5"/>
        <v>10</v>
      </c>
      <c r="R53" s="3" t="str">
        <f t="shared" si="6"/>
        <v>October</v>
      </c>
      <c r="S53" s="6">
        <f t="shared" si="7"/>
        <v>2014</v>
      </c>
    </row>
    <row r="54" spans="1:19" ht="12.75" x14ac:dyDescent="0.2">
      <c r="A54" s="2" t="s">
        <v>20</v>
      </c>
      <c r="B54" s="2" t="str">
        <f t="shared" si="0"/>
        <v>Midmarket</v>
      </c>
      <c r="C54" s="2" t="s">
        <v>71</v>
      </c>
      <c r="D54" s="2" t="str">
        <f>PROPER(Table1[[#This Row],[Country]])</f>
        <v>Usa</v>
      </c>
      <c r="E54" s="3" t="s">
        <v>32</v>
      </c>
      <c r="F54" s="3" t="s">
        <v>18</v>
      </c>
      <c r="G54" s="13">
        <v>615</v>
      </c>
      <c r="H54" s="4">
        <v>260</v>
      </c>
      <c r="I54" s="4">
        <v>15</v>
      </c>
      <c r="J54" s="4">
        <f t="shared" si="1"/>
        <v>9225</v>
      </c>
      <c r="K54" s="4">
        <v>0</v>
      </c>
      <c r="L54" s="4">
        <f t="shared" si="2"/>
        <v>9225</v>
      </c>
      <c r="M54" s="4">
        <v>6150</v>
      </c>
      <c r="N54" s="4">
        <f t="shared" si="3"/>
        <v>3075</v>
      </c>
      <c r="O54" s="16">
        <f t="shared" si="4"/>
        <v>0.33333333333333331</v>
      </c>
      <c r="P54" s="19">
        <v>41974</v>
      </c>
      <c r="Q54" s="5">
        <f t="shared" si="5"/>
        <v>12</v>
      </c>
      <c r="R54" s="3" t="str">
        <f t="shared" si="6"/>
        <v>December</v>
      </c>
      <c r="S54" s="6">
        <f t="shared" si="7"/>
        <v>2014</v>
      </c>
    </row>
    <row r="55" spans="1:19" ht="12.75" x14ac:dyDescent="0.2">
      <c r="A55" s="2" t="s">
        <v>15</v>
      </c>
      <c r="B55" s="2" t="str">
        <f t="shared" si="0"/>
        <v>Government</v>
      </c>
      <c r="C55" s="2" t="s">
        <v>21</v>
      </c>
      <c r="D55" s="2" t="str">
        <f>PROPER(Table1[[#This Row],[Country]])</f>
        <v>France</v>
      </c>
      <c r="E55" s="3" t="s">
        <v>28</v>
      </c>
      <c r="F55" s="3" t="s">
        <v>33</v>
      </c>
      <c r="G55" s="13">
        <v>3945</v>
      </c>
      <c r="H55" s="4">
        <v>10</v>
      </c>
      <c r="I55" s="4">
        <v>7</v>
      </c>
      <c r="J55" s="4">
        <f t="shared" si="1"/>
        <v>27615</v>
      </c>
      <c r="K55" s="4">
        <v>276.14999999999998</v>
      </c>
      <c r="L55" s="4">
        <f t="shared" si="2"/>
        <v>27338.85</v>
      </c>
      <c r="M55" s="4">
        <v>19725</v>
      </c>
      <c r="N55" s="4">
        <f t="shared" si="3"/>
        <v>7613.8499999999985</v>
      </c>
      <c r="O55" s="16">
        <f t="shared" si="4"/>
        <v>0.27849927849927847</v>
      </c>
      <c r="P55" s="19">
        <v>41640</v>
      </c>
      <c r="Q55" s="5">
        <f t="shared" si="5"/>
        <v>1</v>
      </c>
      <c r="R55" s="3" t="str">
        <f t="shared" si="6"/>
        <v>January</v>
      </c>
      <c r="S55" s="6">
        <f t="shared" si="7"/>
        <v>2014</v>
      </c>
    </row>
    <row r="56" spans="1:19" ht="12.75" x14ac:dyDescent="0.2">
      <c r="A56" s="2" t="s">
        <v>20</v>
      </c>
      <c r="B56" s="2" t="str">
        <f t="shared" si="0"/>
        <v>Midmarket</v>
      </c>
      <c r="C56" s="2" t="s">
        <v>21</v>
      </c>
      <c r="D56" s="2" t="str">
        <f>PROPER(Table1[[#This Row],[Country]])</f>
        <v>France</v>
      </c>
      <c r="E56" s="3" t="s">
        <v>28</v>
      </c>
      <c r="F56" s="3" t="s">
        <v>33</v>
      </c>
      <c r="G56" s="13">
        <v>2296</v>
      </c>
      <c r="H56" s="4">
        <v>10</v>
      </c>
      <c r="I56" s="4">
        <v>15</v>
      </c>
      <c r="J56" s="4">
        <f t="shared" si="1"/>
        <v>34440</v>
      </c>
      <c r="K56" s="4">
        <v>344.4</v>
      </c>
      <c r="L56" s="4">
        <f t="shared" si="2"/>
        <v>34095.599999999999</v>
      </c>
      <c r="M56" s="4">
        <v>22960</v>
      </c>
      <c r="N56" s="4">
        <f t="shared" si="3"/>
        <v>11135.599999999999</v>
      </c>
      <c r="O56" s="16">
        <f t="shared" si="4"/>
        <v>0.32659932659932656</v>
      </c>
      <c r="P56" s="19">
        <v>41671</v>
      </c>
      <c r="Q56" s="5">
        <f t="shared" si="5"/>
        <v>2</v>
      </c>
      <c r="R56" s="3" t="str">
        <f t="shared" si="6"/>
        <v>February</v>
      </c>
      <c r="S56" s="6">
        <f t="shared" si="7"/>
        <v>2014</v>
      </c>
    </row>
    <row r="57" spans="1:19" ht="12.75" x14ac:dyDescent="0.2">
      <c r="A57" s="2" t="s">
        <v>15</v>
      </c>
      <c r="B57" s="2" t="str">
        <f t="shared" si="0"/>
        <v>Government</v>
      </c>
      <c r="C57" s="2" t="s">
        <v>21</v>
      </c>
      <c r="D57" s="2" t="str">
        <f>PROPER(Table1[[#This Row],[Country]])</f>
        <v>France</v>
      </c>
      <c r="E57" s="3" t="s">
        <v>28</v>
      </c>
      <c r="F57" s="3" t="s">
        <v>33</v>
      </c>
      <c r="G57" s="13">
        <v>1030</v>
      </c>
      <c r="H57" s="4">
        <v>10</v>
      </c>
      <c r="I57" s="4">
        <v>7</v>
      </c>
      <c r="J57" s="4">
        <f t="shared" si="1"/>
        <v>7210</v>
      </c>
      <c r="K57" s="4">
        <v>72.099999999999994</v>
      </c>
      <c r="L57" s="4">
        <f t="shared" si="2"/>
        <v>7137.9</v>
      </c>
      <c r="M57" s="4">
        <v>5150</v>
      </c>
      <c r="N57" s="4">
        <f t="shared" si="3"/>
        <v>1987.8999999999996</v>
      </c>
      <c r="O57" s="16">
        <f t="shared" si="4"/>
        <v>0.27849927849927847</v>
      </c>
      <c r="P57" s="19">
        <v>41760</v>
      </c>
      <c r="Q57" s="5">
        <f t="shared" si="5"/>
        <v>5</v>
      </c>
      <c r="R57" s="3" t="str">
        <f t="shared" si="6"/>
        <v>May</v>
      </c>
      <c r="S57" s="6">
        <f t="shared" si="7"/>
        <v>2014</v>
      </c>
    </row>
    <row r="58" spans="1:19" ht="12.75" x14ac:dyDescent="0.2">
      <c r="A58" s="2" t="s">
        <v>15</v>
      </c>
      <c r="B58" s="2" t="str">
        <f t="shared" si="0"/>
        <v>Government</v>
      </c>
      <c r="C58" s="2" t="s">
        <v>21</v>
      </c>
      <c r="D58" s="2" t="str">
        <f>PROPER(Table1[[#This Row],[Country]])</f>
        <v>France</v>
      </c>
      <c r="E58" s="3" t="s">
        <v>30</v>
      </c>
      <c r="F58" s="3" t="s">
        <v>33</v>
      </c>
      <c r="G58" s="13">
        <v>639</v>
      </c>
      <c r="H58" s="4">
        <v>120</v>
      </c>
      <c r="I58" s="4">
        <v>7</v>
      </c>
      <c r="J58" s="4">
        <f t="shared" si="1"/>
        <v>4473</v>
      </c>
      <c r="K58" s="4">
        <v>44.73</v>
      </c>
      <c r="L58" s="4">
        <f t="shared" si="2"/>
        <v>4428.2700000000004</v>
      </c>
      <c r="M58" s="4">
        <v>3195</v>
      </c>
      <c r="N58" s="4">
        <f t="shared" si="3"/>
        <v>1233.2700000000004</v>
      </c>
      <c r="O58" s="16">
        <f t="shared" si="4"/>
        <v>0.27849927849927858</v>
      </c>
      <c r="P58" s="19">
        <v>41944</v>
      </c>
      <c r="Q58" s="5">
        <f t="shared" si="5"/>
        <v>11</v>
      </c>
      <c r="R58" s="3" t="str">
        <f t="shared" si="6"/>
        <v>November</v>
      </c>
      <c r="S58" s="6">
        <f t="shared" si="7"/>
        <v>2014</v>
      </c>
    </row>
    <row r="59" spans="1:19" ht="12.75" x14ac:dyDescent="0.2">
      <c r="A59" s="2" t="s">
        <v>15</v>
      </c>
      <c r="B59" s="2" t="str">
        <f t="shared" si="0"/>
        <v>Government</v>
      </c>
      <c r="C59" s="2" t="s">
        <v>16</v>
      </c>
      <c r="D59" s="2" t="str">
        <f>PROPER(Table1[[#This Row],[Country]])</f>
        <v>Canada</v>
      </c>
      <c r="E59" s="3" t="s">
        <v>31</v>
      </c>
      <c r="F59" s="3" t="s">
        <v>33</v>
      </c>
      <c r="G59" s="13">
        <v>1326</v>
      </c>
      <c r="H59" s="4">
        <v>250</v>
      </c>
      <c r="I59" s="4">
        <v>7</v>
      </c>
      <c r="J59" s="4">
        <f t="shared" si="1"/>
        <v>9282</v>
      </c>
      <c r="K59" s="4">
        <v>92.82</v>
      </c>
      <c r="L59" s="4">
        <f t="shared" si="2"/>
        <v>9189.18</v>
      </c>
      <c r="M59" s="4">
        <v>6630</v>
      </c>
      <c r="N59" s="4">
        <f t="shared" si="3"/>
        <v>2559.1800000000003</v>
      </c>
      <c r="O59" s="16">
        <f t="shared" si="4"/>
        <v>0.27849927849927852</v>
      </c>
      <c r="P59" s="19">
        <v>41699</v>
      </c>
      <c r="Q59" s="5">
        <f t="shared" si="5"/>
        <v>3</v>
      </c>
      <c r="R59" s="3" t="str">
        <f t="shared" si="6"/>
        <v>March</v>
      </c>
      <c r="S59" s="6">
        <f t="shared" si="7"/>
        <v>2014</v>
      </c>
    </row>
    <row r="60" spans="1:19" ht="12.75" x14ac:dyDescent="0.2">
      <c r="A60" s="2" t="s">
        <v>24</v>
      </c>
      <c r="B60" s="2" t="str">
        <f t="shared" si="0"/>
        <v>Channel Partners</v>
      </c>
      <c r="C60" s="2" t="s">
        <v>71</v>
      </c>
      <c r="D60" s="2" t="str">
        <f>PROPER(Table1[[#This Row],[Country]])</f>
        <v>Usa</v>
      </c>
      <c r="E60" s="3" t="s">
        <v>17</v>
      </c>
      <c r="F60" s="3" t="s">
        <v>33</v>
      </c>
      <c r="G60" s="13">
        <v>1858</v>
      </c>
      <c r="H60" s="4">
        <v>3</v>
      </c>
      <c r="I60" s="4">
        <v>12</v>
      </c>
      <c r="J60" s="4">
        <f t="shared" si="1"/>
        <v>22296</v>
      </c>
      <c r="K60" s="4">
        <v>222.96</v>
      </c>
      <c r="L60" s="4">
        <f t="shared" si="2"/>
        <v>22073.040000000001</v>
      </c>
      <c r="M60" s="4">
        <v>5574</v>
      </c>
      <c r="N60" s="4">
        <f t="shared" si="3"/>
        <v>16499.04</v>
      </c>
      <c r="O60" s="16">
        <f t="shared" si="4"/>
        <v>0.74747474747474751</v>
      </c>
      <c r="P60" s="19">
        <v>41671</v>
      </c>
      <c r="Q60" s="5">
        <f t="shared" si="5"/>
        <v>2</v>
      </c>
      <c r="R60" s="3" t="str">
        <f t="shared" si="6"/>
        <v>February</v>
      </c>
      <c r="S60" s="6">
        <f t="shared" si="7"/>
        <v>2014</v>
      </c>
    </row>
    <row r="61" spans="1:19" ht="12.75" x14ac:dyDescent="0.2">
      <c r="A61" s="2" t="s">
        <v>15</v>
      </c>
      <c r="B61" s="2" t="str">
        <f t="shared" si="0"/>
        <v>Government</v>
      </c>
      <c r="C61" s="2" t="s">
        <v>22</v>
      </c>
      <c r="D61" s="2" t="str">
        <f>PROPER(Table1[[#This Row],[Country]])</f>
        <v>Mexico</v>
      </c>
      <c r="E61" s="3" t="s">
        <v>17</v>
      </c>
      <c r="F61" s="3" t="s">
        <v>33</v>
      </c>
      <c r="G61" s="13">
        <v>1210</v>
      </c>
      <c r="H61" s="4">
        <v>3</v>
      </c>
      <c r="I61" s="4">
        <v>350</v>
      </c>
      <c r="J61" s="4">
        <f t="shared" si="1"/>
        <v>423500</v>
      </c>
      <c r="K61" s="4">
        <v>4235</v>
      </c>
      <c r="L61" s="4">
        <f t="shared" si="2"/>
        <v>419265</v>
      </c>
      <c r="M61" s="4">
        <v>314600</v>
      </c>
      <c r="N61" s="4">
        <f t="shared" si="3"/>
        <v>104665</v>
      </c>
      <c r="O61" s="16">
        <f t="shared" si="4"/>
        <v>0.24963924963924963</v>
      </c>
      <c r="P61" s="19">
        <v>41699</v>
      </c>
      <c r="Q61" s="5">
        <f t="shared" si="5"/>
        <v>3</v>
      </c>
      <c r="R61" s="3" t="str">
        <f t="shared" si="6"/>
        <v>March</v>
      </c>
      <c r="S61" s="6">
        <f t="shared" si="7"/>
        <v>2014</v>
      </c>
    </row>
    <row r="62" spans="1:19" ht="12.75" x14ac:dyDescent="0.2">
      <c r="A62" s="2" t="s">
        <v>15</v>
      </c>
      <c r="B62" s="2" t="str">
        <f t="shared" si="0"/>
        <v>Government</v>
      </c>
      <c r="C62" s="2" t="s">
        <v>71</v>
      </c>
      <c r="D62" s="2" t="str">
        <f>PROPER(Table1[[#This Row],[Country]])</f>
        <v>Usa</v>
      </c>
      <c r="E62" s="3" t="s">
        <v>17</v>
      </c>
      <c r="F62" s="3" t="s">
        <v>33</v>
      </c>
      <c r="G62" s="13">
        <v>2529</v>
      </c>
      <c r="H62" s="4">
        <v>3</v>
      </c>
      <c r="I62" s="4">
        <v>7</v>
      </c>
      <c r="J62" s="4">
        <f t="shared" si="1"/>
        <v>17703</v>
      </c>
      <c r="K62" s="4">
        <v>177.03</v>
      </c>
      <c r="L62" s="4">
        <f t="shared" si="2"/>
        <v>17525.97</v>
      </c>
      <c r="M62" s="4">
        <v>12645</v>
      </c>
      <c r="N62" s="4">
        <f t="shared" si="3"/>
        <v>4880.9700000000012</v>
      </c>
      <c r="O62" s="16">
        <f t="shared" si="4"/>
        <v>0.27849927849927852</v>
      </c>
      <c r="P62" s="19">
        <v>41821</v>
      </c>
      <c r="Q62" s="5">
        <f t="shared" si="5"/>
        <v>7</v>
      </c>
      <c r="R62" s="3" t="str">
        <f t="shared" si="6"/>
        <v>July</v>
      </c>
      <c r="S62" s="6">
        <f t="shared" si="7"/>
        <v>2014</v>
      </c>
    </row>
    <row r="63" spans="1:19" ht="12.75" x14ac:dyDescent="0.2">
      <c r="A63" s="2" t="s">
        <v>24</v>
      </c>
      <c r="B63" s="2" t="str">
        <f t="shared" si="0"/>
        <v>Channel Partners</v>
      </c>
      <c r="C63" s="2" t="s">
        <v>16</v>
      </c>
      <c r="D63" s="2" t="str">
        <f>PROPER(Table1[[#This Row],[Country]])</f>
        <v>Canada</v>
      </c>
      <c r="E63" s="3" t="s">
        <v>17</v>
      </c>
      <c r="F63" s="3" t="s">
        <v>33</v>
      </c>
      <c r="G63" s="13">
        <v>1445</v>
      </c>
      <c r="H63" s="4">
        <v>3</v>
      </c>
      <c r="I63" s="4">
        <v>12</v>
      </c>
      <c r="J63" s="4">
        <f t="shared" si="1"/>
        <v>17340</v>
      </c>
      <c r="K63" s="4">
        <v>173.4</v>
      </c>
      <c r="L63" s="4">
        <f t="shared" si="2"/>
        <v>17166.599999999999</v>
      </c>
      <c r="M63" s="4">
        <v>4335</v>
      </c>
      <c r="N63" s="4">
        <f t="shared" si="3"/>
        <v>12831.599999999999</v>
      </c>
      <c r="O63" s="16">
        <f t="shared" si="4"/>
        <v>0.7474747474747474</v>
      </c>
      <c r="P63" s="19">
        <v>41883</v>
      </c>
      <c r="Q63" s="5">
        <f t="shared" si="5"/>
        <v>9</v>
      </c>
      <c r="R63" s="3" t="str">
        <f t="shared" si="6"/>
        <v>September</v>
      </c>
      <c r="S63" s="6">
        <f t="shared" si="7"/>
        <v>2014</v>
      </c>
    </row>
    <row r="64" spans="1:19" ht="12.75" x14ac:dyDescent="0.2">
      <c r="A64" s="2" t="s">
        <v>25</v>
      </c>
      <c r="B64" s="2" t="str">
        <f t="shared" si="0"/>
        <v>Enterprise</v>
      </c>
      <c r="C64" s="2" t="s">
        <v>71</v>
      </c>
      <c r="D64" s="2" t="str">
        <f>PROPER(Table1[[#This Row],[Country]])</f>
        <v>Usa</v>
      </c>
      <c r="E64" s="3" t="s">
        <v>17</v>
      </c>
      <c r="F64" s="3" t="s">
        <v>33</v>
      </c>
      <c r="G64" s="13">
        <v>330</v>
      </c>
      <c r="H64" s="4">
        <v>3</v>
      </c>
      <c r="I64" s="4">
        <v>125</v>
      </c>
      <c r="J64" s="4">
        <f t="shared" si="1"/>
        <v>41250</v>
      </c>
      <c r="K64" s="4">
        <v>412.5</v>
      </c>
      <c r="L64" s="4">
        <f t="shared" si="2"/>
        <v>40837.5</v>
      </c>
      <c r="M64" s="4">
        <v>39600</v>
      </c>
      <c r="N64" s="4">
        <f t="shared" si="3"/>
        <v>1237.5</v>
      </c>
      <c r="O64" s="16">
        <f t="shared" si="4"/>
        <v>3.0303030303030304E-2</v>
      </c>
      <c r="P64" s="19">
        <v>41518</v>
      </c>
      <c r="Q64" s="5">
        <f t="shared" si="5"/>
        <v>9</v>
      </c>
      <c r="R64" s="3" t="str">
        <f t="shared" si="6"/>
        <v>September</v>
      </c>
      <c r="S64" s="6">
        <f t="shared" si="7"/>
        <v>2013</v>
      </c>
    </row>
    <row r="65" spans="1:19" ht="12.75" x14ac:dyDescent="0.2">
      <c r="A65" s="2" t="s">
        <v>24</v>
      </c>
      <c r="B65" s="2" t="str">
        <f t="shared" si="0"/>
        <v>Channel Partners</v>
      </c>
      <c r="C65" s="2" t="s">
        <v>21</v>
      </c>
      <c r="D65" s="2" t="str">
        <f>PROPER(Table1[[#This Row],[Country]])</f>
        <v>France</v>
      </c>
      <c r="E65" s="3" t="s">
        <v>17</v>
      </c>
      <c r="F65" s="3" t="s">
        <v>33</v>
      </c>
      <c r="G65" s="13">
        <v>2671</v>
      </c>
      <c r="H65" s="4">
        <v>3</v>
      </c>
      <c r="I65" s="4">
        <v>12</v>
      </c>
      <c r="J65" s="4">
        <f t="shared" si="1"/>
        <v>32052</v>
      </c>
      <c r="K65" s="4">
        <v>320.52</v>
      </c>
      <c r="L65" s="4">
        <f t="shared" si="2"/>
        <v>31731.48</v>
      </c>
      <c r="M65" s="4">
        <v>8013</v>
      </c>
      <c r="N65" s="4">
        <f t="shared" si="3"/>
        <v>23718.48</v>
      </c>
      <c r="O65" s="16">
        <f t="shared" si="4"/>
        <v>0.74747474747474751</v>
      </c>
      <c r="P65" s="19">
        <v>41883</v>
      </c>
      <c r="Q65" s="5">
        <f t="shared" si="5"/>
        <v>9</v>
      </c>
      <c r="R65" s="3" t="str">
        <f t="shared" si="6"/>
        <v>September</v>
      </c>
      <c r="S65" s="6">
        <f t="shared" si="7"/>
        <v>2014</v>
      </c>
    </row>
    <row r="66" spans="1:19" ht="12.75" x14ac:dyDescent="0.2">
      <c r="A66" s="2" t="s">
        <v>24</v>
      </c>
      <c r="B66" s="2" t="str">
        <f t="shared" ref="B66:B129" si="8">PROPER(A66)</f>
        <v>Channel Partners</v>
      </c>
      <c r="C66" s="2" t="s">
        <v>19</v>
      </c>
      <c r="D66" s="2" t="str">
        <f>PROPER(Table1[[#This Row],[Country]])</f>
        <v>Germany</v>
      </c>
      <c r="E66" s="3" t="s">
        <v>17</v>
      </c>
      <c r="F66" s="3" t="s">
        <v>33</v>
      </c>
      <c r="G66" s="13">
        <v>766</v>
      </c>
      <c r="H66" s="4">
        <v>3</v>
      </c>
      <c r="I66" s="4">
        <v>12</v>
      </c>
      <c r="J66" s="4">
        <f t="shared" si="1"/>
        <v>9192</v>
      </c>
      <c r="K66" s="4">
        <v>91.92</v>
      </c>
      <c r="L66" s="4">
        <f t="shared" si="2"/>
        <v>9100.08</v>
      </c>
      <c r="M66" s="4">
        <v>2298</v>
      </c>
      <c r="N66" s="4">
        <f t="shared" si="3"/>
        <v>6802.08</v>
      </c>
      <c r="O66" s="16">
        <f t="shared" si="4"/>
        <v>0.74747474747474751</v>
      </c>
      <c r="P66" s="19">
        <v>41548</v>
      </c>
      <c r="Q66" s="5">
        <f t="shared" si="5"/>
        <v>10</v>
      </c>
      <c r="R66" s="3" t="str">
        <f t="shared" si="6"/>
        <v>October</v>
      </c>
      <c r="S66" s="6">
        <f t="shared" si="7"/>
        <v>2013</v>
      </c>
    </row>
    <row r="67" spans="1:19" ht="12.75" x14ac:dyDescent="0.2">
      <c r="A67" s="2" t="s">
        <v>26</v>
      </c>
      <c r="B67" s="2" t="str">
        <f t="shared" si="8"/>
        <v>Small Business</v>
      </c>
      <c r="C67" s="2" t="s">
        <v>22</v>
      </c>
      <c r="D67" s="2" t="str">
        <f>PROPER(Table1[[#This Row],[Country]])</f>
        <v>Mexico</v>
      </c>
      <c r="E67" s="3" t="s">
        <v>17</v>
      </c>
      <c r="F67" s="3" t="s">
        <v>33</v>
      </c>
      <c r="G67" s="13">
        <v>494</v>
      </c>
      <c r="H67" s="4">
        <v>3</v>
      </c>
      <c r="I67" s="4">
        <v>300</v>
      </c>
      <c r="J67" s="4">
        <f t="shared" ref="J67:J130" si="9">G67*I67</f>
        <v>148200</v>
      </c>
      <c r="K67" s="4">
        <v>1482</v>
      </c>
      <c r="L67" s="4">
        <f t="shared" ref="L67:L130" si="10">J67-K67</f>
        <v>146718</v>
      </c>
      <c r="M67" s="4">
        <v>123500</v>
      </c>
      <c r="N67" s="4">
        <f t="shared" ref="N67:N130" si="11">L67-M67</f>
        <v>23218</v>
      </c>
      <c r="O67" s="16">
        <f t="shared" ref="O67:O130" si="12">N67/L67</f>
        <v>0.15824915824915825</v>
      </c>
      <c r="P67" s="19">
        <v>41548</v>
      </c>
      <c r="Q67" s="5">
        <f t="shared" ref="Q67:Q130" si="13">MONTH(P67)</f>
        <v>10</v>
      </c>
      <c r="R67" s="3" t="str">
        <f t="shared" ref="R67:R130" si="14">TEXT(P67,"mmmm")</f>
        <v>October</v>
      </c>
      <c r="S67" s="6">
        <f t="shared" ref="S67:S130" si="15">YEAR(P67)</f>
        <v>2013</v>
      </c>
    </row>
    <row r="68" spans="1:19" ht="12.75" x14ac:dyDescent="0.2">
      <c r="A68" s="2" t="s">
        <v>15</v>
      </c>
      <c r="B68" s="2" t="str">
        <f t="shared" si="8"/>
        <v>Government</v>
      </c>
      <c r="C68" s="2" t="s">
        <v>22</v>
      </c>
      <c r="D68" s="2" t="str">
        <f>PROPER(Table1[[#This Row],[Country]])</f>
        <v>Mexico</v>
      </c>
      <c r="E68" s="3" t="s">
        <v>17</v>
      </c>
      <c r="F68" s="3" t="s">
        <v>33</v>
      </c>
      <c r="G68" s="13">
        <v>1397</v>
      </c>
      <c r="H68" s="4">
        <v>3</v>
      </c>
      <c r="I68" s="4">
        <v>350</v>
      </c>
      <c r="J68" s="4">
        <f t="shared" si="9"/>
        <v>488950</v>
      </c>
      <c r="K68" s="4">
        <v>4889.5</v>
      </c>
      <c r="L68" s="4">
        <f t="shared" si="10"/>
        <v>484060.5</v>
      </c>
      <c r="M68" s="4">
        <v>363220</v>
      </c>
      <c r="N68" s="4">
        <f t="shared" si="11"/>
        <v>120840.5</v>
      </c>
      <c r="O68" s="16">
        <f t="shared" si="12"/>
        <v>0.24963924963924963</v>
      </c>
      <c r="P68" s="19">
        <v>41913</v>
      </c>
      <c r="Q68" s="5">
        <f t="shared" si="13"/>
        <v>10</v>
      </c>
      <c r="R68" s="3" t="str">
        <f t="shared" si="14"/>
        <v>October</v>
      </c>
      <c r="S68" s="6">
        <f t="shared" si="15"/>
        <v>2014</v>
      </c>
    </row>
    <row r="69" spans="1:19" ht="12.75" x14ac:dyDescent="0.2">
      <c r="A69" s="2" t="s">
        <v>15</v>
      </c>
      <c r="B69" s="2" t="str">
        <f t="shared" si="8"/>
        <v>Government</v>
      </c>
      <c r="C69" s="2" t="s">
        <v>21</v>
      </c>
      <c r="D69" s="2" t="str">
        <f>PROPER(Table1[[#This Row],[Country]])</f>
        <v>France</v>
      </c>
      <c r="E69" s="3" t="s">
        <v>17</v>
      </c>
      <c r="F69" s="3" t="s">
        <v>33</v>
      </c>
      <c r="G69" s="13">
        <v>2155</v>
      </c>
      <c r="H69" s="4">
        <v>3</v>
      </c>
      <c r="I69" s="4">
        <v>350</v>
      </c>
      <c r="J69" s="4">
        <f t="shared" si="9"/>
        <v>754250</v>
      </c>
      <c r="K69" s="4">
        <v>7542.5</v>
      </c>
      <c r="L69" s="4">
        <f t="shared" si="10"/>
        <v>746707.5</v>
      </c>
      <c r="M69" s="4">
        <v>560300</v>
      </c>
      <c r="N69" s="4">
        <f t="shared" si="11"/>
        <v>186407.5</v>
      </c>
      <c r="O69" s="16">
        <f t="shared" si="12"/>
        <v>0.24963924963924963</v>
      </c>
      <c r="P69" s="19">
        <v>41974</v>
      </c>
      <c r="Q69" s="5">
        <f t="shared" si="13"/>
        <v>12</v>
      </c>
      <c r="R69" s="3" t="str">
        <f t="shared" si="14"/>
        <v>December</v>
      </c>
      <c r="S69" s="6">
        <f t="shared" si="15"/>
        <v>2014</v>
      </c>
    </row>
    <row r="70" spans="1:19" ht="12.75" x14ac:dyDescent="0.2">
      <c r="A70" s="2" t="s">
        <v>20</v>
      </c>
      <c r="B70" s="2" t="str">
        <f t="shared" si="8"/>
        <v>Midmarket</v>
      </c>
      <c r="C70" s="2" t="s">
        <v>22</v>
      </c>
      <c r="D70" s="2" t="str">
        <f>PROPER(Table1[[#This Row],[Country]])</f>
        <v>Mexico</v>
      </c>
      <c r="E70" s="3" t="s">
        <v>23</v>
      </c>
      <c r="F70" s="3" t="s">
        <v>33</v>
      </c>
      <c r="G70" s="13">
        <v>2214</v>
      </c>
      <c r="H70" s="4">
        <v>5</v>
      </c>
      <c r="I70" s="4">
        <v>15</v>
      </c>
      <c r="J70" s="4">
        <f t="shared" si="9"/>
        <v>33210</v>
      </c>
      <c r="K70" s="4">
        <v>332.1</v>
      </c>
      <c r="L70" s="4">
        <f t="shared" si="10"/>
        <v>32877.9</v>
      </c>
      <c r="M70" s="4">
        <v>22140</v>
      </c>
      <c r="N70" s="4">
        <f t="shared" si="11"/>
        <v>10737.900000000001</v>
      </c>
      <c r="O70" s="16">
        <f t="shared" si="12"/>
        <v>0.32659932659932661</v>
      </c>
      <c r="P70" s="19">
        <v>41699</v>
      </c>
      <c r="Q70" s="5">
        <f t="shared" si="13"/>
        <v>3</v>
      </c>
      <c r="R70" s="3" t="str">
        <f t="shared" si="14"/>
        <v>March</v>
      </c>
      <c r="S70" s="6">
        <f t="shared" si="15"/>
        <v>2014</v>
      </c>
    </row>
    <row r="71" spans="1:19" ht="12.75" x14ac:dyDescent="0.2">
      <c r="A71" s="2" t="s">
        <v>26</v>
      </c>
      <c r="B71" s="2" t="str">
        <f t="shared" si="8"/>
        <v>Small Business</v>
      </c>
      <c r="C71" s="2" t="s">
        <v>71</v>
      </c>
      <c r="D71" s="2" t="str">
        <f>PROPER(Table1[[#This Row],[Country]])</f>
        <v>Usa</v>
      </c>
      <c r="E71" s="3" t="s">
        <v>23</v>
      </c>
      <c r="F71" s="3" t="s">
        <v>33</v>
      </c>
      <c r="G71" s="13">
        <v>2301</v>
      </c>
      <c r="H71" s="4">
        <v>5</v>
      </c>
      <c r="I71" s="4">
        <v>300</v>
      </c>
      <c r="J71" s="4">
        <f t="shared" si="9"/>
        <v>690300</v>
      </c>
      <c r="K71" s="4">
        <v>6903</v>
      </c>
      <c r="L71" s="4">
        <f t="shared" si="10"/>
        <v>683397</v>
      </c>
      <c r="M71" s="4">
        <v>575250</v>
      </c>
      <c r="N71" s="4">
        <f t="shared" si="11"/>
        <v>108147</v>
      </c>
      <c r="O71" s="16">
        <f t="shared" si="12"/>
        <v>0.15824915824915825</v>
      </c>
      <c r="P71" s="19">
        <v>41730</v>
      </c>
      <c r="Q71" s="5">
        <f t="shared" si="13"/>
        <v>4</v>
      </c>
      <c r="R71" s="3" t="str">
        <f t="shared" si="14"/>
        <v>April</v>
      </c>
      <c r="S71" s="6">
        <f t="shared" si="15"/>
        <v>2014</v>
      </c>
    </row>
    <row r="72" spans="1:19" ht="12.75" x14ac:dyDescent="0.2">
      <c r="A72" s="2" t="s">
        <v>15</v>
      </c>
      <c r="B72" s="2" t="str">
        <f t="shared" si="8"/>
        <v>Government</v>
      </c>
      <c r="C72" s="2" t="s">
        <v>21</v>
      </c>
      <c r="D72" s="2" t="str">
        <f>PROPER(Table1[[#This Row],[Country]])</f>
        <v>France</v>
      </c>
      <c r="E72" s="3" t="s">
        <v>23</v>
      </c>
      <c r="F72" s="3" t="s">
        <v>33</v>
      </c>
      <c r="G72" s="13">
        <v>1375.5</v>
      </c>
      <c r="H72" s="4">
        <v>5</v>
      </c>
      <c r="I72" s="4">
        <v>20</v>
      </c>
      <c r="J72" s="4">
        <f t="shared" si="9"/>
        <v>27510</v>
      </c>
      <c r="K72" s="4">
        <v>275.10000000000002</v>
      </c>
      <c r="L72" s="4">
        <f t="shared" si="10"/>
        <v>27234.9</v>
      </c>
      <c r="M72" s="4">
        <v>13755</v>
      </c>
      <c r="N72" s="4">
        <f t="shared" si="11"/>
        <v>13479.900000000001</v>
      </c>
      <c r="O72" s="16">
        <f t="shared" si="12"/>
        <v>0.49494949494949497</v>
      </c>
      <c r="P72" s="19">
        <v>41821</v>
      </c>
      <c r="Q72" s="5">
        <f t="shared" si="13"/>
        <v>7</v>
      </c>
      <c r="R72" s="3" t="str">
        <f t="shared" si="14"/>
        <v>July</v>
      </c>
      <c r="S72" s="6">
        <f t="shared" si="15"/>
        <v>2014</v>
      </c>
    </row>
    <row r="73" spans="1:19" ht="12.75" x14ac:dyDescent="0.2">
      <c r="A73" s="2" t="s">
        <v>15</v>
      </c>
      <c r="B73" s="2" t="str">
        <f t="shared" si="8"/>
        <v>Government</v>
      </c>
      <c r="C73" s="2" t="s">
        <v>16</v>
      </c>
      <c r="D73" s="2" t="str">
        <f>PROPER(Table1[[#This Row],[Country]])</f>
        <v>Canada</v>
      </c>
      <c r="E73" s="3" t="s">
        <v>23</v>
      </c>
      <c r="F73" s="3" t="s">
        <v>33</v>
      </c>
      <c r="G73" s="13">
        <v>1830</v>
      </c>
      <c r="H73" s="4">
        <v>5</v>
      </c>
      <c r="I73" s="4">
        <v>7</v>
      </c>
      <c r="J73" s="4">
        <f t="shared" si="9"/>
        <v>12810</v>
      </c>
      <c r="K73" s="4">
        <v>128.1</v>
      </c>
      <c r="L73" s="4">
        <f t="shared" si="10"/>
        <v>12681.9</v>
      </c>
      <c r="M73" s="4">
        <v>9150</v>
      </c>
      <c r="N73" s="4">
        <f t="shared" si="11"/>
        <v>3531.8999999999996</v>
      </c>
      <c r="O73" s="16">
        <f t="shared" si="12"/>
        <v>0.27849927849927847</v>
      </c>
      <c r="P73" s="19">
        <v>41852</v>
      </c>
      <c r="Q73" s="5">
        <f t="shared" si="13"/>
        <v>8</v>
      </c>
      <c r="R73" s="3" t="str">
        <f t="shared" si="14"/>
        <v>August</v>
      </c>
      <c r="S73" s="6">
        <f t="shared" si="15"/>
        <v>2014</v>
      </c>
    </row>
    <row r="74" spans="1:19" ht="12.75" x14ac:dyDescent="0.2">
      <c r="A74" s="2" t="s">
        <v>29</v>
      </c>
      <c r="B74" s="2" t="str">
        <f t="shared" si="8"/>
        <v>Small Business</v>
      </c>
      <c r="C74" s="2" t="s">
        <v>71</v>
      </c>
      <c r="D74" s="2" t="str">
        <f>PROPER(Table1[[#This Row],[Country]])</f>
        <v>Usa</v>
      </c>
      <c r="E74" s="3" t="s">
        <v>23</v>
      </c>
      <c r="F74" s="3" t="s">
        <v>33</v>
      </c>
      <c r="G74" s="13">
        <v>2498</v>
      </c>
      <c r="H74" s="4">
        <v>5</v>
      </c>
      <c r="I74" s="4">
        <v>300</v>
      </c>
      <c r="J74" s="4">
        <f t="shared" si="9"/>
        <v>749400</v>
      </c>
      <c r="K74" s="4">
        <v>7494</v>
      </c>
      <c r="L74" s="4">
        <f t="shared" si="10"/>
        <v>741906</v>
      </c>
      <c r="M74" s="4">
        <v>624500</v>
      </c>
      <c r="N74" s="4">
        <f t="shared" si="11"/>
        <v>117406</v>
      </c>
      <c r="O74" s="16">
        <f t="shared" si="12"/>
        <v>0.15824915824915825</v>
      </c>
      <c r="P74" s="19">
        <v>41518</v>
      </c>
      <c r="Q74" s="5">
        <f t="shared" si="13"/>
        <v>9</v>
      </c>
      <c r="R74" s="3" t="str">
        <f t="shared" si="14"/>
        <v>September</v>
      </c>
      <c r="S74" s="6">
        <f t="shared" si="15"/>
        <v>2013</v>
      </c>
    </row>
    <row r="75" spans="1:19" ht="12.75" x14ac:dyDescent="0.2">
      <c r="A75" s="2" t="s">
        <v>25</v>
      </c>
      <c r="B75" s="2" t="str">
        <f t="shared" si="8"/>
        <v>Enterprise</v>
      </c>
      <c r="C75" s="2" t="s">
        <v>71</v>
      </c>
      <c r="D75" s="2" t="str">
        <f>PROPER(Table1[[#This Row],[Country]])</f>
        <v>Usa</v>
      </c>
      <c r="E75" s="3" t="s">
        <v>23</v>
      </c>
      <c r="F75" s="3" t="s">
        <v>33</v>
      </c>
      <c r="G75" s="13">
        <v>663</v>
      </c>
      <c r="H75" s="4">
        <v>5</v>
      </c>
      <c r="I75" s="4">
        <v>125</v>
      </c>
      <c r="J75" s="4">
        <f t="shared" si="9"/>
        <v>82875</v>
      </c>
      <c r="K75" s="4">
        <v>828.75</v>
      </c>
      <c r="L75" s="4">
        <f t="shared" si="10"/>
        <v>82046.25</v>
      </c>
      <c r="M75" s="4">
        <v>79560</v>
      </c>
      <c r="N75" s="4">
        <f t="shared" si="11"/>
        <v>2486.25</v>
      </c>
      <c r="O75" s="16">
        <f t="shared" si="12"/>
        <v>3.0303030303030304E-2</v>
      </c>
      <c r="P75" s="19">
        <v>41548</v>
      </c>
      <c r="Q75" s="5">
        <f t="shared" si="13"/>
        <v>10</v>
      </c>
      <c r="R75" s="3" t="str">
        <f t="shared" si="14"/>
        <v>October</v>
      </c>
      <c r="S75" s="6">
        <f t="shared" si="15"/>
        <v>2013</v>
      </c>
    </row>
    <row r="76" spans="1:19" ht="12.75" x14ac:dyDescent="0.2">
      <c r="A76" s="2" t="s">
        <v>20</v>
      </c>
      <c r="B76" s="2" t="str">
        <f t="shared" si="8"/>
        <v>Midmarket</v>
      </c>
      <c r="C76" s="2" t="s">
        <v>71</v>
      </c>
      <c r="D76" s="2" t="str">
        <f>PROPER(Table1[[#This Row],[Country]])</f>
        <v>Usa</v>
      </c>
      <c r="E76" s="3" t="s">
        <v>28</v>
      </c>
      <c r="F76" s="3" t="s">
        <v>33</v>
      </c>
      <c r="G76" s="13">
        <v>1514</v>
      </c>
      <c r="H76" s="4">
        <v>10</v>
      </c>
      <c r="I76" s="4">
        <v>15</v>
      </c>
      <c r="J76" s="4">
        <f t="shared" si="9"/>
        <v>22710</v>
      </c>
      <c r="K76" s="4">
        <v>227.1</v>
      </c>
      <c r="L76" s="4">
        <f t="shared" si="10"/>
        <v>22482.9</v>
      </c>
      <c r="M76" s="4">
        <v>15140</v>
      </c>
      <c r="N76" s="4">
        <f t="shared" si="11"/>
        <v>7342.9000000000015</v>
      </c>
      <c r="O76" s="16">
        <f t="shared" si="12"/>
        <v>0.32659932659932667</v>
      </c>
      <c r="P76" s="19">
        <v>41671</v>
      </c>
      <c r="Q76" s="5">
        <f t="shared" si="13"/>
        <v>2</v>
      </c>
      <c r="R76" s="3" t="str">
        <f t="shared" si="14"/>
        <v>February</v>
      </c>
      <c r="S76" s="6">
        <f t="shared" si="15"/>
        <v>2014</v>
      </c>
    </row>
    <row r="77" spans="1:19" ht="12.75" x14ac:dyDescent="0.2">
      <c r="A77" s="2" t="s">
        <v>15</v>
      </c>
      <c r="B77" s="2" t="str">
        <f t="shared" si="8"/>
        <v>Government</v>
      </c>
      <c r="C77" s="2" t="s">
        <v>71</v>
      </c>
      <c r="D77" s="2" t="str">
        <f>PROPER(Table1[[#This Row],[Country]])</f>
        <v>Usa</v>
      </c>
      <c r="E77" s="3" t="s">
        <v>28</v>
      </c>
      <c r="F77" s="3" t="s">
        <v>33</v>
      </c>
      <c r="G77" s="13">
        <v>4492.5</v>
      </c>
      <c r="H77" s="4">
        <v>10</v>
      </c>
      <c r="I77" s="4">
        <v>7</v>
      </c>
      <c r="J77" s="4">
        <f t="shared" si="9"/>
        <v>31447.5</v>
      </c>
      <c r="K77" s="4">
        <v>314.47500000000002</v>
      </c>
      <c r="L77" s="4">
        <f t="shared" si="10"/>
        <v>31133.025000000001</v>
      </c>
      <c r="M77" s="4">
        <v>22462.5</v>
      </c>
      <c r="N77" s="4">
        <f t="shared" si="11"/>
        <v>8670.5250000000015</v>
      </c>
      <c r="O77" s="16">
        <f t="shared" si="12"/>
        <v>0.27849927849927852</v>
      </c>
      <c r="P77" s="19">
        <v>41730</v>
      </c>
      <c r="Q77" s="5">
        <f t="shared" si="13"/>
        <v>4</v>
      </c>
      <c r="R77" s="3" t="str">
        <f t="shared" si="14"/>
        <v>April</v>
      </c>
      <c r="S77" s="6">
        <f t="shared" si="15"/>
        <v>2014</v>
      </c>
    </row>
    <row r="78" spans="1:19" ht="12.75" x14ac:dyDescent="0.2">
      <c r="A78" s="2" t="s">
        <v>25</v>
      </c>
      <c r="B78" s="2" t="str">
        <f t="shared" si="8"/>
        <v>Enterprise</v>
      </c>
      <c r="C78" s="2" t="s">
        <v>71</v>
      </c>
      <c r="D78" s="2" t="str">
        <f>PROPER(Table1[[#This Row],[Country]])</f>
        <v>Usa</v>
      </c>
      <c r="E78" s="3" t="s">
        <v>28</v>
      </c>
      <c r="F78" s="3" t="s">
        <v>33</v>
      </c>
      <c r="G78" s="13">
        <v>727</v>
      </c>
      <c r="H78" s="4">
        <v>10</v>
      </c>
      <c r="I78" s="4">
        <v>125</v>
      </c>
      <c r="J78" s="4">
        <f t="shared" si="9"/>
        <v>90875</v>
      </c>
      <c r="K78" s="4">
        <v>908.75</v>
      </c>
      <c r="L78" s="4">
        <f t="shared" si="10"/>
        <v>89966.25</v>
      </c>
      <c r="M78" s="4">
        <v>87240</v>
      </c>
      <c r="N78" s="4">
        <f t="shared" si="11"/>
        <v>2726.25</v>
      </c>
      <c r="O78" s="16">
        <f t="shared" si="12"/>
        <v>3.0303030303030304E-2</v>
      </c>
      <c r="P78" s="19">
        <v>41791</v>
      </c>
      <c r="Q78" s="5">
        <f t="shared" si="13"/>
        <v>6</v>
      </c>
      <c r="R78" s="3" t="str">
        <f t="shared" si="14"/>
        <v>June</v>
      </c>
      <c r="S78" s="6">
        <f t="shared" si="15"/>
        <v>2014</v>
      </c>
    </row>
    <row r="79" spans="1:19" ht="12.75" x14ac:dyDescent="0.2">
      <c r="A79" s="2" t="s">
        <v>25</v>
      </c>
      <c r="B79" s="2" t="str">
        <f t="shared" si="8"/>
        <v>Enterprise</v>
      </c>
      <c r="C79" s="2" t="s">
        <v>21</v>
      </c>
      <c r="D79" s="2" t="str">
        <f>PROPER(Table1[[#This Row],[Country]])</f>
        <v>France</v>
      </c>
      <c r="E79" s="3" t="s">
        <v>28</v>
      </c>
      <c r="F79" s="3" t="s">
        <v>33</v>
      </c>
      <c r="G79" s="13">
        <v>787</v>
      </c>
      <c r="H79" s="4">
        <v>10</v>
      </c>
      <c r="I79" s="4">
        <v>125</v>
      </c>
      <c r="J79" s="4">
        <f t="shared" si="9"/>
        <v>98375</v>
      </c>
      <c r="K79" s="4">
        <v>983.75</v>
      </c>
      <c r="L79" s="4">
        <f t="shared" si="10"/>
        <v>97391.25</v>
      </c>
      <c r="M79" s="4">
        <v>94440</v>
      </c>
      <c r="N79" s="4">
        <f t="shared" si="11"/>
        <v>2951.25</v>
      </c>
      <c r="O79" s="16">
        <f t="shared" si="12"/>
        <v>3.0303030303030304E-2</v>
      </c>
      <c r="P79" s="19">
        <v>41791</v>
      </c>
      <c r="Q79" s="5">
        <f t="shared" si="13"/>
        <v>6</v>
      </c>
      <c r="R79" s="3" t="str">
        <f t="shared" si="14"/>
        <v>June</v>
      </c>
      <c r="S79" s="6">
        <f t="shared" si="15"/>
        <v>2014</v>
      </c>
    </row>
    <row r="80" spans="1:19" ht="12.75" x14ac:dyDescent="0.2">
      <c r="A80" s="2" t="s">
        <v>25</v>
      </c>
      <c r="B80" s="2" t="str">
        <f t="shared" si="8"/>
        <v>Enterprise</v>
      </c>
      <c r="C80" s="2" t="s">
        <v>22</v>
      </c>
      <c r="D80" s="2" t="str">
        <f>PROPER(Table1[[#This Row],[Country]])</f>
        <v>Mexico</v>
      </c>
      <c r="E80" s="3" t="s">
        <v>28</v>
      </c>
      <c r="F80" s="3" t="s">
        <v>33</v>
      </c>
      <c r="G80" s="13">
        <v>1823</v>
      </c>
      <c r="H80" s="4">
        <v>10</v>
      </c>
      <c r="I80" s="4">
        <v>125</v>
      </c>
      <c r="J80" s="4">
        <f t="shared" si="9"/>
        <v>227875</v>
      </c>
      <c r="K80" s="4">
        <v>2278.75</v>
      </c>
      <c r="L80" s="4">
        <f t="shared" si="10"/>
        <v>225596.25</v>
      </c>
      <c r="M80" s="4">
        <v>218760</v>
      </c>
      <c r="N80" s="4">
        <f t="shared" si="11"/>
        <v>6836.25</v>
      </c>
      <c r="O80" s="16">
        <f t="shared" si="12"/>
        <v>3.0303030303030304E-2</v>
      </c>
      <c r="P80" s="19">
        <v>41821</v>
      </c>
      <c r="Q80" s="5">
        <f t="shared" si="13"/>
        <v>7</v>
      </c>
      <c r="R80" s="3" t="str">
        <f t="shared" si="14"/>
        <v>July</v>
      </c>
      <c r="S80" s="6">
        <f t="shared" si="15"/>
        <v>2014</v>
      </c>
    </row>
    <row r="81" spans="1:19" ht="12.75" x14ac:dyDescent="0.2">
      <c r="A81" s="2" t="s">
        <v>20</v>
      </c>
      <c r="B81" s="2" t="str">
        <f t="shared" si="8"/>
        <v>Midmarket</v>
      </c>
      <c r="C81" s="2" t="s">
        <v>19</v>
      </c>
      <c r="D81" s="2" t="str">
        <f>PROPER(Table1[[#This Row],[Country]])</f>
        <v>Germany</v>
      </c>
      <c r="E81" s="3" t="s">
        <v>28</v>
      </c>
      <c r="F81" s="3" t="s">
        <v>33</v>
      </c>
      <c r="G81" s="13">
        <v>747</v>
      </c>
      <c r="H81" s="4">
        <v>10</v>
      </c>
      <c r="I81" s="4">
        <v>15</v>
      </c>
      <c r="J81" s="4">
        <f t="shared" si="9"/>
        <v>11205</v>
      </c>
      <c r="K81" s="4">
        <v>112.05</v>
      </c>
      <c r="L81" s="4">
        <f t="shared" si="10"/>
        <v>11092.95</v>
      </c>
      <c r="M81" s="4">
        <v>7470</v>
      </c>
      <c r="N81" s="4">
        <f t="shared" si="11"/>
        <v>3622.9500000000007</v>
      </c>
      <c r="O81" s="16">
        <f t="shared" si="12"/>
        <v>0.32659932659932667</v>
      </c>
      <c r="P81" s="19">
        <v>41883</v>
      </c>
      <c r="Q81" s="5">
        <f t="shared" si="13"/>
        <v>9</v>
      </c>
      <c r="R81" s="3" t="str">
        <f t="shared" si="14"/>
        <v>September</v>
      </c>
      <c r="S81" s="6">
        <f t="shared" si="15"/>
        <v>2014</v>
      </c>
    </row>
    <row r="82" spans="1:19" ht="12.75" x14ac:dyDescent="0.2">
      <c r="A82" s="2" t="s">
        <v>24</v>
      </c>
      <c r="B82" s="2" t="str">
        <f t="shared" si="8"/>
        <v>Channel Partners</v>
      </c>
      <c r="C82" s="2" t="s">
        <v>19</v>
      </c>
      <c r="D82" s="2" t="str">
        <f>PROPER(Table1[[#This Row],[Country]])</f>
        <v>Germany</v>
      </c>
      <c r="E82" s="3" t="s">
        <v>28</v>
      </c>
      <c r="F82" s="3" t="s">
        <v>33</v>
      </c>
      <c r="G82" s="13">
        <v>766</v>
      </c>
      <c r="H82" s="4">
        <v>10</v>
      </c>
      <c r="I82" s="4">
        <v>12</v>
      </c>
      <c r="J82" s="4">
        <f t="shared" si="9"/>
        <v>9192</v>
      </c>
      <c r="K82" s="4">
        <v>91.92</v>
      </c>
      <c r="L82" s="4">
        <f t="shared" si="10"/>
        <v>9100.08</v>
      </c>
      <c r="M82" s="4">
        <v>2298</v>
      </c>
      <c r="N82" s="4">
        <f t="shared" si="11"/>
        <v>6802.08</v>
      </c>
      <c r="O82" s="16">
        <f t="shared" si="12"/>
        <v>0.74747474747474751</v>
      </c>
      <c r="P82" s="19">
        <v>41548</v>
      </c>
      <c r="Q82" s="5">
        <f t="shared" si="13"/>
        <v>10</v>
      </c>
      <c r="R82" s="3" t="str">
        <f t="shared" si="14"/>
        <v>October</v>
      </c>
      <c r="S82" s="6">
        <f t="shared" si="15"/>
        <v>2013</v>
      </c>
    </row>
    <row r="83" spans="1:19" ht="12.75" x14ac:dyDescent="0.2">
      <c r="A83" s="2" t="s">
        <v>29</v>
      </c>
      <c r="B83" s="2" t="str">
        <f t="shared" si="8"/>
        <v>Small Business</v>
      </c>
      <c r="C83" s="2" t="s">
        <v>71</v>
      </c>
      <c r="D83" s="2" t="str">
        <f>PROPER(Table1[[#This Row],[Country]])</f>
        <v>Usa</v>
      </c>
      <c r="E83" s="3" t="s">
        <v>28</v>
      </c>
      <c r="F83" s="3" t="s">
        <v>33</v>
      </c>
      <c r="G83" s="13">
        <v>2905</v>
      </c>
      <c r="H83" s="4">
        <v>10</v>
      </c>
      <c r="I83" s="4">
        <v>300</v>
      </c>
      <c r="J83" s="4">
        <f t="shared" si="9"/>
        <v>871500</v>
      </c>
      <c r="K83" s="4">
        <v>8715</v>
      </c>
      <c r="L83" s="4">
        <f t="shared" si="10"/>
        <v>862785</v>
      </c>
      <c r="M83" s="4">
        <v>726250</v>
      </c>
      <c r="N83" s="4">
        <f t="shared" si="11"/>
        <v>136535</v>
      </c>
      <c r="O83" s="16">
        <f t="shared" si="12"/>
        <v>0.15824915824915825</v>
      </c>
      <c r="P83" s="19">
        <v>41944</v>
      </c>
      <c r="Q83" s="5">
        <f t="shared" si="13"/>
        <v>11</v>
      </c>
      <c r="R83" s="3" t="str">
        <f t="shared" si="14"/>
        <v>November</v>
      </c>
      <c r="S83" s="6">
        <f t="shared" si="15"/>
        <v>2014</v>
      </c>
    </row>
    <row r="84" spans="1:19" ht="12.75" x14ac:dyDescent="0.2">
      <c r="A84" s="2" t="s">
        <v>15</v>
      </c>
      <c r="B84" s="2" t="str">
        <f t="shared" si="8"/>
        <v>Government</v>
      </c>
      <c r="C84" s="2" t="s">
        <v>21</v>
      </c>
      <c r="D84" s="2" t="str">
        <f>PROPER(Table1[[#This Row],[Country]])</f>
        <v>France</v>
      </c>
      <c r="E84" s="3" t="s">
        <v>28</v>
      </c>
      <c r="F84" s="3" t="s">
        <v>33</v>
      </c>
      <c r="G84" s="13">
        <v>2155</v>
      </c>
      <c r="H84" s="4">
        <v>10</v>
      </c>
      <c r="I84" s="4">
        <v>350</v>
      </c>
      <c r="J84" s="4">
        <f t="shared" si="9"/>
        <v>754250</v>
      </c>
      <c r="K84" s="4">
        <v>7542.5</v>
      </c>
      <c r="L84" s="4">
        <f t="shared" si="10"/>
        <v>746707.5</v>
      </c>
      <c r="M84" s="4">
        <v>560300</v>
      </c>
      <c r="N84" s="4">
        <f t="shared" si="11"/>
        <v>186407.5</v>
      </c>
      <c r="O84" s="16">
        <f t="shared" si="12"/>
        <v>0.24963924963924963</v>
      </c>
      <c r="P84" s="19">
        <v>41974</v>
      </c>
      <c r="Q84" s="5">
        <f t="shared" si="13"/>
        <v>12</v>
      </c>
      <c r="R84" s="3" t="str">
        <f t="shared" si="14"/>
        <v>December</v>
      </c>
      <c r="S84" s="6">
        <f t="shared" si="15"/>
        <v>2014</v>
      </c>
    </row>
    <row r="85" spans="1:19" ht="12.75" x14ac:dyDescent="0.2">
      <c r="A85" s="2" t="s">
        <v>15</v>
      </c>
      <c r="B85" s="2" t="str">
        <f t="shared" si="8"/>
        <v>Government</v>
      </c>
      <c r="C85" s="2" t="s">
        <v>21</v>
      </c>
      <c r="D85" s="2" t="str">
        <f>PROPER(Table1[[#This Row],[Country]])</f>
        <v>France</v>
      </c>
      <c r="E85" s="3" t="s">
        <v>30</v>
      </c>
      <c r="F85" s="3" t="s">
        <v>33</v>
      </c>
      <c r="G85" s="13">
        <v>3864</v>
      </c>
      <c r="H85" s="4">
        <v>120</v>
      </c>
      <c r="I85" s="4">
        <v>20</v>
      </c>
      <c r="J85" s="4">
        <f t="shared" si="9"/>
        <v>77280</v>
      </c>
      <c r="K85" s="4">
        <v>772.80000000000007</v>
      </c>
      <c r="L85" s="4">
        <f t="shared" si="10"/>
        <v>76507.199999999997</v>
      </c>
      <c r="M85" s="4">
        <v>38640</v>
      </c>
      <c r="N85" s="4">
        <f t="shared" si="11"/>
        <v>37867.199999999997</v>
      </c>
      <c r="O85" s="16">
        <f t="shared" si="12"/>
        <v>0.49494949494949492</v>
      </c>
      <c r="P85" s="19">
        <v>41730</v>
      </c>
      <c r="Q85" s="5">
        <f t="shared" si="13"/>
        <v>4</v>
      </c>
      <c r="R85" s="3" t="str">
        <f t="shared" si="14"/>
        <v>April</v>
      </c>
      <c r="S85" s="6">
        <f t="shared" si="15"/>
        <v>2014</v>
      </c>
    </row>
    <row r="86" spans="1:19" ht="12.75" x14ac:dyDescent="0.2">
      <c r="A86" s="2" t="s">
        <v>15</v>
      </c>
      <c r="B86" s="2" t="str">
        <f t="shared" si="8"/>
        <v>Government</v>
      </c>
      <c r="C86" s="2" t="s">
        <v>22</v>
      </c>
      <c r="D86" s="2" t="str">
        <f>PROPER(Table1[[#This Row],[Country]])</f>
        <v>Mexico</v>
      </c>
      <c r="E86" s="3" t="s">
        <v>30</v>
      </c>
      <c r="F86" s="3" t="s">
        <v>33</v>
      </c>
      <c r="G86" s="13">
        <v>362</v>
      </c>
      <c r="H86" s="4">
        <v>120</v>
      </c>
      <c r="I86" s="4">
        <v>7</v>
      </c>
      <c r="J86" s="4">
        <f t="shared" si="9"/>
        <v>2534</v>
      </c>
      <c r="K86" s="4">
        <v>25.34</v>
      </c>
      <c r="L86" s="4">
        <f t="shared" si="10"/>
        <v>2508.66</v>
      </c>
      <c r="M86" s="4">
        <v>1810</v>
      </c>
      <c r="N86" s="4">
        <f t="shared" si="11"/>
        <v>698.65999999999985</v>
      </c>
      <c r="O86" s="16">
        <f t="shared" si="12"/>
        <v>0.27849927849927847</v>
      </c>
      <c r="P86" s="19">
        <v>41760</v>
      </c>
      <c r="Q86" s="5">
        <f t="shared" si="13"/>
        <v>5</v>
      </c>
      <c r="R86" s="3" t="str">
        <f t="shared" si="14"/>
        <v>May</v>
      </c>
      <c r="S86" s="6">
        <f t="shared" si="15"/>
        <v>2014</v>
      </c>
    </row>
    <row r="87" spans="1:19" ht="12.75" x14ac:dyDescent="0.2">
      <c r="A87" s="2" t="s">
        <v>25</v>
      </c>
      <c r="B87" s="2" t="str">
        <f t="shared" si="8"/>
        <v>Enterprise</v>
      </c>
      <c r="C87" s="2" t="s">
        <v>16</v>
      </c>
      <c r="D87" s="2" t="str">
        <f>PROPER(Table1[[#This Row],[Country]])</f>
        <v>Canada</v>
      </c>
      <c r="E87" s="3" t="s">
        <v>30</v>
      </c>
      <c r="F87" s="3" t="s">
        <v>33</v>
      </c>
      <c r="G87" s="13">
        <v>923</v>
      </c>
      <c r="H87" s="4">
        <v>120</v>
      </c>
      <c r="I87" s="4">
        <v>125</v>
      </c>
      <c r="J87" s="4">
        <f t="shared" si="9"/>
        <v>115375</v>
      </c>
      <c r="K87" s="4">
        <v>1153.75</v>
      </c>
      <c r="L87" s="4">
        <f t="shared" si="10"/>
        <v>114221.25</v>
      </c>
      <c r="M87" s="4">
        <v>110760</v>
      </c>
      <c r="N87" s="4">
        <f t="shared" si="11"/>
        <v>3461.25</v>
      </c>
      <c r="O87" s="16">
        <f t="shared" si="12"/>
        <v>3.0303030303030304E-2</v>
      </c>
      <c r="P87" s="19">
        <v>41852</v>
      </c>
      <c r="Q87" s="5">
        <f t="shared" si="13"/>
        <v>8</v>
      </c>
      <c r="R87" s="3" t="str">
        <f t="shared" si="14"/>
        <v>August</v>
      </c>
      <c r="S87" s="6">
        <f t="shared" si="15"/>
        <v>2014</v>
      </c>
    </row>
    <row r="88" spans="1:19" ht="12.75" x14ac:dyDescent="0.2">
      <c r="A88" s="2" t="s">
        <v>25</v>
      </c>
      <c r="B88" s="2" t="str">
        <f t="shared" si="8"/>
        <v>Enterprise</v>
      </c>
      <c r="C88" s="2" t="s">
        <v>71</v>
      </c>
      <c r="D88" s="2" t="str">
        <f>PROPER(Table1[[#This Row],[Country]])</f>
        <v>Usa</v>
      </c>
      <c r="E88" s="3" t="s">
        <v>30</v>
      </c>
      <c r="F88" s="3" t="s">
        <v>33</v>
      </c>
      <c r="G88" s="13">
        <v>663</v>
      </c>
      <c r="H88" s="4">
        <v>120</v>
      </c>
      <c r="I88" s="4">
        <v>125</v>
      </c>
      <c r="J88" s="4">
        <f t="shared" si="9"/>
        <v>82875</v>
      </c>
      <c r="K88" s="4">
        <v>828.75</v>
      </c>
      <c r="L88" s="4">
        <f t="shared" si="10"/>
        <v>82046.25</v>
      </c>
      <c r="M88" s="4">
        <v>79560</v>
      </c>
      <c r="N88" s="4">
        <f t="shared" si="11"/>
        <v>2486.25</v>
      </c>
      <c r="O88" s="16">
        <f t="shared" si="12"/>
        <v>3.0303030303030304E-2</v>
      </c>
      <c r="P88" s="19">
        <v>41548</v>
      </c>
      <c r="Q88" s="5">
        <f t="shared" si="13"/>
        <v>10</v>
      </c>
      <c r="R88" s="3" t="str">
        <f t="shared" si="14"/>
        <v>October</v>
      </c>
      <c r="S88" s="6">
        <f t="shared" si="15"/>
        <v>2013</v>
      </c>
    </row>
    <row r="89" spans="1:19" ht="12.75" x14ac:dyDescent="0.2">
      <c r="A89" s="2" t="s">
        <v>15</v>
      </c>
      <c r="B89" s="2" t="str">
        <f t="shared" si="8"/>
        <v>Government</v>
      </c>
      <c r="C89" s="2" t="s">
        <v>16</v>
      </c>
      <c r="D89" s="2" t="str">
        <f>PROPER(Table1[[#This Row],[Country]])</f>
        <v>Canada</v>
      </c>
      <c r="E89" s="3" t="s">
        <v>30</v>
      </c>
      <c r="F89" s="3" t="s">
        <v>33</v>
      </c>
      <c r="G89" s="13">
        <v>2092</v>
      </c>
      <c r="H89" s="4">
        <v>120</v>
      </c>
      <c r="I89" s="4">
        <v>7</v>
      </c>
      <c r="J89" s="4">
        <f t="shared" si="9"/>
        <v>14644</v>
      </c>
      <c r="K89" s="4">
        <v>146.44</v>
      </c>
      <c r="L89" s="4">
        <f t="shared" si="10"/>
        <v>14497.56</v>
      </c>
      <c r="M89" s="4">
        <v>10460</v>
      </c>
      <c r="N89" s="4">
        <f t="shared" si="11"/>
        <v>4037.5599999999995</v>
      </c>
      <c r="O89" s="16">
        <f t="shared" si="12"/>
        <v>0.27849927849927847</v>
      </c>
      <c r="P89" s="19">
        <v>41579</v>
      </c>
      <c r="Q89" s="5">
        <f t="shared" si="13"/>
        <v>11</v>
      </c>
      <c r="R89" s="3" t="str">
        <f t="shared" si="14"/>
        <v>November</v>
      </c>
      <c r="S89" s="6">
        <f t="shared" si="15"/>
        <v>2013</v>
      </c>
    </row>
    <row r="90" spans="1:19" ht="12.75" x14ac:dyDescent="0.2">
      <c r="A90" s="2" t="s">
        <v>15</v>
      </c>
      <c r="B90" s="2" t="str">
        <f t="shared" si="8"/>
        <v>Government</v>
      </c>
      <c r="C90" s="2" t="s">
        <v>19</v>
      </c>
      <c r="D90" s="2" t="str">
        <f>PROPER(Table1[[#This Row],[Country]])</f>
        <v>Germany</v>
      </c>
      <c r="E90" s="3" t="s">
        <v>31</v>
      </c>
      <c r="F90" s="3" t="s">
        <v>33</v>
      </c>
      <c r="G90" s="13">
        <v>263</v>
      </c>
      <c r="H90" s="4">
        <v>250</v>
      </c>
      <c r="I90" s="4">
        <v>7</v>
      </c>
      <c r="J90" s="4">
        <f t="shared" si="9"/>
        <v>1841</v>
      </c>
      <c r="K90" s="4">
        <v>18.41</v>
      </c>
      <c r="L90" s="4">
        <f t="shared" si="10"/>
        <v>1822.59</v>
      </c>
      <c r="M90" s="4">
        <v>1315</v>
      </c>
      <c r="N90" s="4">
        <f t="shared" si="11"/>
        <v>507.58999999999992</v>
      </c>
      <c r="O90" s="16">
        <f t="shared" si="12"/>
        <v>0.27849927849927847</v>
      </c>
      <c r="P90" s="19">
        <v>41699</v>
      </c>
      <c r="Q90" s="5">
        <f t="shared" si="13"/>
        <v>3</v>
      </c>
      <c r="R90" s="3" t="str">
        <f t="shared" si="14"/>
        <v>March</v>
      </c>
      <c r="S90" s="6">
        <f t="shared" si="15"/>
        <v>2014</v>
      </c>
    </row>
    <row r="91" spans="1:19" ht="12.75" x14ac:dyDescent="0.2">
      <c r="A91" s="2" t="s">
        <v>15</v>
      </c>
      <c r="B91" s="2" t="str">
        <f t="shared" si="8"/>
        <v>Government</v>
      </c>
      <c r="C91" s="2" t="s">
        <v>16</v>
      </c>
      <c r="D91" s="2" t="str">
        <f>PROPER(Table1[[#This Row],[Country]])</f>
        <v>Canada</v>
      </c>
      <c r="E91" s="3" t="s">
        <v>31</v>
      </c>
      <c r="F91" s="3" t="s">
        <v>33</v>
      </c>
      <c r="G91" s="13">
        <v>943.5</v>
      </c>
      <c r="H91" s="4">
        <v>250</v>
      </c>
      <c r="I91" s="4">
        <v>350</v>
      </c>
      <c r="J91" s="4">
        <f t="shared" si="9"/>
        <v>330225</v>
      </c>
      <c r="K91" s="4">
        <v>3302.25</v>
      </c>
      <c r="L91" s="4">
        <f t="shared" si="10"/>
        <v>326922.75</v>
      </c>
      <c r="M91" s="4">
        <v>245310</v>
      </c>
      <c r="N91" s="4">
        <f t="shared" si="11"/>
        <v>81612.75</v>
      </c>
      <c r="O91" s="16">
        <f t="shared" si="12"/>
        <v>0.24963924963924963</v>
      </c>
      <c r="P91" s="19">
        <v>41730</v>
      </c>
      <c r="Q91" s="5">
        <f t="shared" si="13"/>
        <v>4</v>
      </c>
      <c r="R91" s="3" t="str">
        <f t="shared" si="14"/>
        <v>April</v>
      </c>
      <c r="S91" s="6">
        <f t="shared" si="15"/>
        <v>2014</v>
      </c>
    </row>
    <row r="92" spans="1:19" ht="12.75" x14ac:dyDescent="0.2">
      <c r="A92" s="2" t="s">
        <v>25</v>
      </c>
      <c r="B92" s="2" t="str">
        <f t="shared" si="8"/>
        <v>Enterprise</v>
      </c>
      <c r="C92" s="2" t="s">
        <v>71</v>
      </c>
      <c r="D92" s="2" t="str">
        <f>PROPER(Table1[[#This Row],[Country]])</f>
        <v>Usa</v>
      </c>
      <c r="E92" s="3" t="s">
        <v>31</v>
      </c>
      <c r="F92" s="3" t="s">
        <v>33</v>
      </c>
      <c r="G92" s="13">
        <v>727</v>
      </c>
      <c r="H92" s="4">
        <v>250</v>
      </c>
      <c r="I92" s="4">
        <v>125</v>
      </c>
      <c r="J92" s="4">
        <f t="shared" si="9"/>
        <v>90875</v>
      </c>
      <c r="K92" s="4">
        <v>908.75</v>
      </c>
      <c r="L92" s="4">
        <f t="shared" si="10"/>
        <v>89966.25</v>
      </c>
      <c r="M92" s="4">
        <v>87240</v>
      </c>
      <c r="N92" s="4">
        <f t="shared" si="11"/>
        <v>2726.25</v>
      </c>
      <c r="O92" s="16">
        <f t="shared" si="12"/>
        <v>3.0303030303030304E-2</v>
      </c>
      <c r="P92" s="19">
        <v>41791</v>
      </c>
      <c r="Q92" s="5">
        <f t="shared" si="13"/>
        <v>6</v>
      </c>
      <c r="R92" s="3" t="str">
        <f t="shared" si="14"/>
        <v>June</v>
      </c>
      <c r="S92" s="6">
        <f t="shared" si="15"/>
        <v>2014</v>
      </c>
    </row>
    <row r="93" spans="1:19" ht="12.75" x14ac:dyDescent="0.2">
      <c r="A93" s="2" t="s">
        <v>25</v>
      </c>
      <c r="B93" s="2" t="str">
        <f t="shared" si="8"/>
        <v>Enterprise</v>
      </c>
      <c r="C93" s="2" t="s">
        <v>21</v>
      </c>
      <c r="D93" s="2" t="str">
        <f>PROPER(Table1[[#This Row],[Country]])</f>
        <v>France</v>
      </c>
      <c r="E93" s="3" t="s">
        <v>31</v>
      </c>
      <c r="F93" s="3" t="s">
        <v>33</v>
      </c>
      <c r="G93" s="13">
        <v>787</v>
      </c>
      <c r="H93" s="4">
        <v>250</v>
      </c>
      <c r="I93" s="4">
        <v>125</v>
      </c>
      <c r="J93" s="4">
        <f t="shared" si="9"/>
        <v>98375</v>
      </c>
      <c r="K93" s="4">
        <v>983.75</v>
      </c>
      <c r="L93" s="4">
        <f t="shared" si="10"/>
        <v>97391.25</v>
      </c>
      <c r="M93" s="4">
        <v>94440</v>
      </c>
      <c r="N93" s="4">
        <f t="shared" si="11"/>
        <v>2951.25</v>
      </c>
      <c r="O93" s="16">
        <f t="shared" si="12"/>
        <v>3.0303030303030304E-2</v>
      </c>
      <c r="P93" s="19">
        <v>41791</v>
      </c>
      <c r="Q93" s="5">
        <f t="shared" si="13"/>
        <v>6</v>
      </c>
      <c r="R93" s="3" t="str">
        <f t="shared" si="14"/>
        <v>June</v>
      </c>
      <c r="S93" s="6">
        <f t="shared" si="15"/>
        <v>2014</v>
      </c>
    </row>
    <row r="94" spans="1:19" ht="12.75" x14ac:dyDescent="0.2">
      <c r="A94" s="2" t="s">
        <v>29</v>
      </c>
      <c r="B94" s="2" t="str">
        <f t="shared" si="8"/>
        <v>Small Business</v>
      </c>
      <c r="C94" s="2" t="s">
        <v>19</v>
      </c>
      <c r="D94" s="2" t="str">
        <f>PROPER(Table1[[#This Row],[Country]])</f>
        <v>Germany</v>
      </c>
      <c r="E94" s="3" t="s">
        <v>31</v>
      </c>
      <c r="F94" s="3" t="s">
        <v>33</v>
      </c>
      <c r="G94" s="13">
        <v>986</v>
      </c>
      <c r="H94" s="4">
        <v>250</v>
      </c>
      <c r="I94" s="4">
        <v>300</v>
      </c>
      <c r="J94" s="4">
        <f t="shared" si="9"/>
        <v>295800</v>
      </c>
      <c r="K94" s="4">
        <v>2958</v>
      </c>
      <c r="L94" s="4">
        <f t="shared" si="10"/>
        <v>292842</v>
      </c>
      <c r="M94" s="4">
        <v>246500</v>
      </c>
      <c r="N94" s="4">
        <f t="shared" si="11"/>
        <v>46342</v>
      </c>
      <c r="O94" s="16">
        <f t="shared" si="12"/>
        <v>0.15824915824915825</v>
      </c>
      <c r="P94" s="19">
        <v>41883</v>
      </c>
      <c r="Q94" s="5">
        <f t="shared" si="13"/>
        <v>9</v>
      </c>
      <c r="R94" s="3" t="str">
        <f t="shared" si="14"/>
        <v>September</v>
      </c>
      <c r="S94" s="6">
        <f t="shared" si="15"/>
        <v>2014</v>
      </c>
    </row>
    <row r="95" spans="1:19" ht="12.75" x14ac:dyDescent="0.2">
      <c r="A95" s="2" t="s">
        <v>29</v>
      </c>
      <c r="B95" s="2" t="str">
        <f t="shared" si="8"/>
        <v>Small Business</v>
      </c>
      <c r="C95" s="2" t="s">
        <v>22</v>
      </c>
      <c r="D95" s="2" t="str">
        <f>PROPER(Table1[[#This Row],[Country]])</f>
        <v>Mexico</v>
      </c>
      <c r="E95" s="3" t="s">
        <v>31</v>
      </c>
      <c r="F95" s="3" t="s">
        <v>33</v>
      </c>
      <c r="G95" s="13">
        <v>494</v>
      </c>
      <c r="H95" s="4">
        <v>250</v>
      </c>
      <c r="I95" s="4">
        <v>300</v>
      </c>
      <c r="J95" s="4">
        <f t="shared" si="9"/>
        <v>148200</v>
      </c>
      <c r="K95" s="4">
        <v>1482</v>
      </c>
      <c r="L95" s="4">
        <f t="shared" si="10"/>
        <v>146718</v>
      </c>
      <c r="M95" s="4">
        <v>123500</v>
      </c>
      <c r="N95" s="4">
        <f t="shared" si="11"/>
        <v>23218</v>
      </c>
      <c r="O95" s="16">
        <f t="shared" si="12"/>
        <v>0.15824915824915825</v>
      </c>
      <c r="P95" s="19">
        <v>41548</v>
      </c>
      <c r="Q95" s="5">
        <f t="shared" si="13"/>
        <v>10</v>
      </c>
      <c r="R95" s="3" t="str">
        <f t="shared" si="14"/>
        <v>October</v>
      </c>
      <c r="S95" s="6">
        <f t="shared" si="15"/>
        <v>2013</v>
      </c>
    </row>
    <row r="96" spans="1:19" ht="12.75" x14ac:dyDescent="0.2">
      <c r="A96" s="2" t="s">
        <v>15</v>
      </c>
      <c r="B96" s="2" t="str">
        <f t="shared" si="8"/>
        <v>Government</v>
      </c>
      <c r="C96" s="2" t="s">
        <v>22</v>
      </c>
      <c r="D96" s="2" t="str">
        <f>PROPER(Table1[[#This Row],[Country]])</f>
        <v>Mexico</v>
      </c>
      <c r="E96" s="3" t="s">
        <v>31</v>
      </c>
      <c r="F96" s="3" t="s">
        <v>33</v>
      </c>
      <c r="G96" s="13">
        <v>1397</v>
      </c>
      <c r="H96" s="4">
        <v>250</v>
      </c>
      <c r="I96" s="4">
        <v>350</v>
      </c>
      <c r="J96" s="4">
        <f t="shared" si="9"/>
        <v>488950</v>
      </c>
      <c r="K96" s="4">
        <v>4889.5</v>
      </c>
      <c r="L96" s="4">
        <f t="shared" si="10"/>
        <v>484060.5</v>
      </c>
      <c r="M96" s="4">
        <v>363220</v>
      </c>
      <c r="N96" s="4">
        <f t="shared" si="11"/>
        <v>120840.5</v>
      </c>
      <c r="O96" s="16">
        <f t="shared" si="12"/>
        <v>0.24963924963924963</v>
      </c>
      <c r="P96" s="19">
        <v>41913</v>
      </c>
      <c r="Q96" s="5">
        <f t="shared" si="13"/>
        <v>10</v>
      </c>
      <c r="R96" s="3" t="str">
        <f t="shared" si="14"/>
        <v>October</v>
      </c>
      <c r="S96" s="6">
        <f t="shared" si="15"/>
        <v>2014</v>
      </c>
    </row>
    <row r="97" spans="1:19" ht="12.75" x14ac:dyDescent="0.2">
      <c r="A97" s="2" t="s">
        <v>25</v>
      </c>
      <c r="B97" s="2" t="str">
        <f t="shared" si="8"/>
        <v>Enterprise</v>
      </c>
      <c r="C97" s="2" t="s">
        <v>21</v>
      </c>
      <c r="D97" s="2" t="str">
        <f>PROPER(Table1[[#This Row],[Country]])</f>
        <v>France</v>
      </c>
      <c r="E97" s="3" t="s">
        <v>31</v>
      </c>
      <c r="F97" s="3" t="s">
        <v>33</v>
      </c>
      <c r="G97" s="13">
        <v>1744</v>
      </c>
      <c r="H97" s="4">
        <v>250</v>
      </c>
      <c r="I97" s="4">
        <v>125</v>
      </c>
      <c r="J97" s="4">
        <f t="shared" si="9"/>
        <v>218000</v>
      </c>
      <c r="K97" s="4">
        <v>2180</v>
      </c>
      <c r="L97" s="4">
        <f t="shared" si="10"/>
        <v>215820</v>
      </c>
      <c r="M97" s="4">
        <v>209280</v>
      </c>
      <c r="N97" s="4">
        <f t="shared" si="11"/>
        <v>6540</v>
      </c>
      <c r="O97" s="16">
        <f t="shared" si="12"/>
        <v>3.0303030303030304E-2</v>
      </c>
      <c r="P97" s="19">
        <v>41944</v>
      </c>
      <c r="Q97" s="5">
        <f t="shared" si="13"/>
        <v>11</v>
      </c>
      <c r="R97" s="3" t="str">
        <f t="shared" si="14"/>
        <v>November</v>
      </c>
      <c r="S97" s="6">
        <f t="shared" si="15"/>
        <v>2014</v>
      </c>
    </row>
    <row r="98" spans="1:19" ht="12.75" x14ac:dyDescent="0.2">
      <c r="A98" s="2" t="s">
        <v>24</v>
      </c>
      <c r="B98" s="2" t="str">
        <f t="shared" si="8"/>
        <v>Channel Partners</v>
      </c>
      <c r="C98" s="2" t="s">
        <v>71</v>
      </c>
      <c r="D98" s="2" t="str">
        <f>PROPER(Table1[[#This Row],[Country]])</f>
        <v>Usa</v>
      </c>
      <c r="E98" s="3" t="s">
        <v>32</v>
      </c>
      <c r="F98" s="3" t="s">
        <v>33</v>
      </c>
      <c r="G98" s="13">
        <v>1989</v>
      </c>
      <c r="H98" s="4">
        <v>260</v>
      </c>
      <c r="I98" s="4">
        <v>12</v>
      </c>
      <c r="J98" s="4">
        <f t="shared" si="9"/>
        <v>23868</v>
      </c>
      <c r="K98" s="4">
        <v>238.68</v>
      </c>
      <c r="L98" s="4">
        <f t="shared" si="10"/>
        <v>23629.32</v>
      </c>
      <c r="M98" s="4">
        <v>5967</v>
      </c>
      <c r="N98" s="4">
        <f t="shared" si="11"/>
        <v>17662.32</v>
      </c>
      <c r="O98" s="16">
        <f t="shared" si="12"/>
        <v>0.74747474747474751</v>
      </c>
      <c r="P98" s="19">
        <v>41518</v>
      </c>
      <c r="Q98" s="5">
        <f t="shared" si="13"/>
        <v>9</v>
      </c>
      <c r="R98" s="3" t="str">
        <f t="shared" si="14"/>
        <v>September</v>
      </c>
      <c r="S98" s="6">
        <f t="shared" si="15"/>
        <v>2013</v>
      </c>
    </row>
    <row r="99" spans="1:19" ht="12.75" x14ac:dyDescent="0.2">
      <c r="A99" s="2" t="s">
        <v>20</v>
      </c>
      <c r="B99" s="2" t="str">
        <f t="shared" si="8"/>
        <v>Midmarket</v>
      </c>
      <c r="C99" s="2" t="s">
        <v>21</v>
      </c>
      <c r="D99" s="2" t="str">
        <f>PROPER(Table1[[#This Row],[Country]])</f>
        <v>France</v>
      </c>
      <c r="E99" s="3" t="s">
        <v>32</v>
      </c>
      <c r="F99" s="3" t="s">
        <v>33</v>
      </c>
      <c r="G99" s="13">
        <v>321</v>
      </c>
      <c r="H99" s="4">
        <v>260</v>
      </c>
      <c r="I99" s="4">
        <v>15</v>
      </c>
      <c r="J99" s="4">
        <f t="shared" si="9"/>
        <v>4815</v>
      </c>
      <c r="K99" s="4">
        <v>48.15</v>
      </c>
      <c r="L99" s="4">
        <f t="shared" si="10"/>
        <v>4766.8500000000004</v>
      </c>
      <c r="M99" s="4">
        <v>3210</v>
      </c>
      <c r="N99" s="4">
        <f t="shared" si="11"/>
        <v>1556.8500000000004</v>
      </c>
      <c r="O99" s="16">
        <f t="shared" si="12"/>
        <v>0.32659932659932667</v>
      </c>
      <c r="P99" s="19">
        <v>41579</v>
      </c>
      <c r="Q99" s="5">
        <f t="shared" si="13"/>
        <v>11</v>
      </c>
      <c r="R99" s="3" t="str">
        <f t="shared" si="14"/>
        <v>November</v>
      </c>
      <c r="S99" s="6">
        <f t="shared" si="15"/>
        <v>2013</v>
      </c>
    </row>
    <row r="100" spans="1:19" ht="12.75" x14ac:dyDescent="0.2">
      <c r="A100" s="2" t="s">
        <v>25</v>
      </c>
      <c r="B100" s="2" t="str">
        <f t="shared" si="8"/>
        <v>Enterprise</v>
      </c>
      <c r="C100" s="2" t="s">
        <v>16</v>
      </c>
      <c r="D100" s="2" t="str">
        <f>PROPER(Table1[[#This Row],[Country]])</f>
        <v>Canada</v>
      </c>
      <c r="E100" s="3" t="s">
        <v>17</v>
      </c>
      <c r="F100" s="3" t="s">
        <v>33</v>
      </c>
      <c r="G100" s="13">
        <v>742.5</v>
      </c>
      <c r="H100" s="4">
        <v>3</v>
      </c>
      <c r="I100" s="4">
        <v>125</v>
      </c>
      <c r="J100" s="4">
        <f t="shared" si="9"/>
        <v>92812.5</v>
      </c>
      <c r="K100" s="4">
        <v>1856.25</v>
      </c>
      <c r="L100" s="4">
        <f t="shared" si="10"/>
        <v>90956.25</v>
      </c>
      <c r="M100" s="4">
        <v>89100</v>
      </c>
      <c r="N100" s="4">
        <f t="shared" si="11"/>
        <v>1856.25</v>
      </c>
      <c r="O100" s="16">
        <f t="shared" si="12"/>
        <v>2.0408163265306121E-2</v>
      </c>
      <c r="P100" s="19">
        <v>41730</v>
      </c>
      <c r="Q100" s="5">
        <f t="shared" si="13"/>
        <v>4</v>
      </c>
      <c r="R100" s="3" t="str">
        <f t="shared" si="14"/>
        <v>April</v>
      </c>
      <c r="S100" s="6">
        <f t="shared" si="15"/>
        <v>2014</v>
      </c>
    </row>
    <row r="101" spans="1:19" ht="12.75" x14ac:dyDescent="0.2">
      <c r="A101" s="2" t="s">
        <v>24</v>
      </c>
      <c r="B101" s="2" t="str">
        <f t="shared" si="8"/>
        <v>Channel Partners</v>
      </c>
      <c r="C101" s="2" t="s">
        <v>16</v>
      </c>
      <c r="D101" s="2" t="str">
        <f>PROPER(Table1[[#This Row],[Country]])</f>
        <v>Canada</v>
      </c>
      <c r="E101" s="3" t="s">
        <v>17</v>
      </c>
      <c r="F101" s="3" t="s">
        <v>33</v>
      </c>
      <c r="G101" s="13">
        <v>1295</v>
      </c>
      <c r="H101" s="4">
        <v>3</v>
      </c>
      <c r="I101" s="4">
        <v>12</v>
      </c>
      <c r="J101" s="4">
        <f t="shared" si="9"/>
        <v>15540</v>
      </c>
      <c r="K101" s="4">
        <v>310.8</v>
      </c>
      <c r="L101" s="4">
        <f t="shared" si="10"/>
        <v>15229.2</v>
      </c>
      <c r="M101" s="4">
        <v>3885</v>
      </c>
      <c r="N101" s="4">
        <f t="shared" si="11"/>
        <v>11344.2</v>
      </c>
      <c r="O101" s="16">
        <f t="shared" si="12"/>
        <v>0.74489795918367352</v>
      </c>
      <c r="P101" s="19">
        <v>41913</v>
      </c>
      <c r="Q101" s="5">
        <f t="shared" si="13"/>
        <v>10</v>
      </c>
      <c r="R101" s="3" t="str">
        <f t="shared" si="14"/>
        <v>October</v>
      </c>
      <c r="S101" s="6">
        <f t="shared" si="15"/>
        <v>2014</v>
      </c>
    </row>
    <row r="102" spans="1:19" ht="12.75" x14ac:dyDescent="0.2">
      <c r="A102" s="2" t="s">
        <v>29</v>
      </c>
      <c r="B102" s="2" t="str">
        <f t="shared" si="8"/>
        <v>Small Business</v>
      </c>
      <c r="C102" s="2" t="s">
        <v>19</v>
      </c>
      <c r="D102" s="2" t="str">
        <f>PROPER(Table1[[#This Row],[Country]])</f>
        <v>Germany</v>
      </c>
      <c r="E102" s="3" t="s">
        <v>17</v>
      </c>
      <c r="F102" s="3" t="s">
        <v>33</v>
      </c>
      <c r="G102" s="13">
        <v>214</v>
      </c>
      <c r="H102" s="4">
        <v>3</v>
      </c>
      <c r="I102" s="4">
        <v>300</v>
      </c>
      <c r="J102" s="4">
        <f t="shared" si="9"/>
        <v>64200</v>
      </c>
      <c r="K102" s="4">
        <v>1284</v>
      </c>
      <c r="L102" s="4">
        <f t="shared" si="10"/>
        <v>62916</v>
      </c>
      <c r="M102" s="4">
        <v>53500</v>
      </c>
      <c r="N102" s="4">
        <f t="shared" si="11"/>
        <v>9416</v>
      </c>
      <c r="O102" s="16">
        <f t="shared" si="12"/>
        <v>0.14965986394557823</v>
      </c>
      <c r="P102" s="19">
        <v>41548</v>
      </c>
      <c r="Q102" s="5">
        <f t="shared" si="13"/>
        <v>10</v>
      </c>
      <c r="R102" s="3" t="str">
        <f t="shared" si="14"/>
        <v>October</v>
      </c>
      <c r="S102" s="6">
        <f t="shared" si="15"/>
        <v>2013</v>
      </c>
    </row>
    <row r="103" spans="1:19" ht="12.75" x14ac:dyDescent="0.2">
      <c r="A103" s="2" t="s">
        <v>15</v>
      </c>
      <c r="B103" s="2" t="str">
        <f t="shared" si="8"/>
        <v>Government</v>
      </c>
      <c r="C103" s="2" t="s">
        <v>21</v>
      </c>
      <c r="D103" s="2" t="str">
        <f>PROPER(Table1[[#This Row],[Country]])</f>
        <v>France</v>
      </c>
      <c r="E103" s="3" t="s">
        <v>17</v>
      </c>
      <c r="F103" s="3" t="s">
        <v>33</v>
      </c>
      <c r="G103" s="13">
        <v>2145</v>
      </c>
      <c r="H103" s="4">
        <v>3</v>
      </c>
      <c r="I103" s="4">
        <v>7</v>
      </c>
      <c r="J103" s="4">
        <f t="shared" si="9"/>
        <v>15015</v>
      </c>
      <c r="K103" s="4">
        <v>300.3</v>
      </c>
      <c r="L103" s="4">
        <f t="shared" si="10"/>
        <v>14714.7</v>
      </c>
      <c r="M103" s="4">
        <v>10725</v>
      </c>
      <c r="N103" s="4">
        <f t="shared" si="11"/>
        <v>3989.7000000000007</v>
      </c>
      <c r="O103" s="16">
        <f t="shared" si="12"/>
        <v>0.2711370262390671</v>
      </c>
      <c r="P103" s="19">
        <v>41579</v>
      </c>
      <c r="Q103" s="5">
        <f t="shared" si="13"/>
        <v>11</v>
      </c>
      <c r="R103" s="3" t="str">
        <f t="shared" si="14"/>
        <v>November</v>
      </c>
      <c r="S103" s="6">
        <f t="shared" si="15"/>
        <v>2013</v>
      </c>
    </row>
    <row r="104" spans="1:19" ht="12.75" x14ac:dyDescent="0.2">
      <c r="A104" s="2" t="s">
        <v>15</v>
      </c>
      <c r="B104" s="2" t="str">
        <f t="shared" si="8"/>
        <v>Government</v>
      </c>
      <c r="C104" s="2" t="s">
        <v>16</v>
      </c>
      <c r="D104" s="2" t="str">
        <f>PROPER(Table1[[#This Row],[Country]])</f>
        <v>Canada</v>
      </c>
      <c r="E104" s="3" t="s">
        <v>17</v>
      </c>
      <c r="F104" s="3" t="s">
        <v>33</v>
      </c>
      <c r="G104" s="13">
        <v>2852</v>
      </c>
      <c r="H104" s="4">
        <v>3</v>
      </c>
      <c r="I104" s="4">
        <v>350</v>
      </c>
      <c r="J104" s="4">
        <f t="shared" si="9"/>
        <v>998200</v>
      </c>
      <c r="K104" s="4">
        <v>19964</v>
      </c>
      <c r="L104" s="4">
        <f t="shared" si="10"/>
        <v>978236</v>
      </c>
      <c r="M104" s="4">
        <v>741520</v>
      </c>
      <c r="N104" s="4">
        <f t="shared" si="11"/>
        <v>236716</v>
      </c>
      <c r="O104" s="16">
        <f t="shared" si="12"/>
        <v>0.24198250728862974</v>
      </c>
      <c r="P104" s="19">
        <v>41974</v>
      </c>
      <c r="Q104" s="5">
        <f t="shared" si="13"/>
        <v>12</v>
      </c>
      <c r="R104" s="3" t="str">
        <f t="shared" si="14"/>
        <v>December</v>
      </c>
      <c r="S104" s="6">
        <f t="shared" si="15"/>
        <v>2014</v>
      </c>
    </row>
    <row r="105" spans="1:19" ht="12.75" x14ac:dyDescent="0.2">
      <c r="A105" s="2" t="s">
        <v>24</v>
      </c>
      <c r="B105" s="2" t="str">
        <f t="shared" si="8"/>
        <v>Channel Partners</v>
      </c>
      <c r="C105" s="2" t="s">
        <v>71</v>
      </c>
      <c r="D105" s="2" t="str">
        <f>PROPER(Table1[[#This Row],[Country]])</f>
        <v>Usa</v>
      </c>
      <c r="E105" s="3" t="s">
        <v>23</v>
      </c>
      <c r="F105" s="3" t="s">
        <v>33</v>
      </c>
      <c r="G105" s="13">
        <v>1142</v>
      </c>
      <c r="H105" s="4">
        <v>5</v>
      </c>
      <c r="I105" s="4">
        <v>12</v>
      </c>
      <c r="J105" s="4">
        <f t="shared" si="9"/>
        <v>13704</v>
      </c>
      <c r="K105" s="4">
        <v>274.08</v>
      </c>
      <c r="L105" s="4">
        <f t="shared" si="10"/>
        <v>13429.92</v>
      </c>
      <c r="M105" s="4">
        <v>3426</v>
      </c>
      <c r="N105" s="4">
        <f t="shared" si="11"/>
        <v>10003.92</v>
      </c>
      <c r="O105" s="16">
        <f t="shared" si="12"/>
        <v>0.74489795918367352</v>
      </c>
      <c r="P105" s="19">
        <v>41791</v>
      </c>
      <c r="Q105" s="5">
        <f t="shared" si="13"/>
        <v>6</v>
      </c>
      <c r="R105" s="3" t="str">
        <f t="shared" si="14"/>
        <v>June</v>
      </c>
      <c r="S105" s="6">
        <f t="shared" si="15"/>
        <v>2014</v>
      </c>
    </row>
    <row r="106" spans="1:19" ht="12.75" x14ac:dyDescent="0.2">
      <c r="A106" s="2" t="s">
        <v>15</v>
      </c>
      <c r="B106" s="2" t="str">
        <f t="shared" si="8"/>
        <v>Government</v>
      </c>
      <c r="C106" s="2" t="s">
        <v>71</v>
      </c>
      <c r="D106" s="2" t="str">
        <f>PROPER(Table1[[#This Row],[Country]])</f>
        <v>Usa</v>
      </c>
      <c r="E106" s="3" t="s">
        <v>23</v>
      </c>
      <c r="F106" s="3" t="s">
        <v>33</v>
      </c>
      <c r="G106" s="13">
        <v>1566</v>
      </c>
      <c r="H106" s="4">
        <v>5</v>
      </c>
      <c r="I106" s="4">
        <v>20</v>
      </c>
      <c r="J106" s="4">
        <f t="shared" si="9"/>
        <v>31320</v>
      </c>
      <c r="K106" s="4">
        <v>626.4</v>
      </c>
      <c r="L106" s="4">
        <f t="shared" si="10"/>
        <v>30693.599999999999</v>
      </c>
      <c r="M106" s="4">
        <v>15660</v>
      </c>
      <c r="N106" s="4">
        <f t="shared" si="11"/>
        <v>15033.599999999999</v>
      </c>
      <c r="O106" s="16">
        <f t="shared" si="12"/>
        <v>0.48979591836734693</v>
      </c>
      <c r="P106" s="19">
        <v>41913</v>
      </c>
      <c r="Q106" s="5">
        <f t="shared" si="13"/>
        <v>10</v>
      </c>
      <c r="R106" s="3" t="str">
        <f t="shared" si="14"/>
        <v>October</v>
      </c>
      <c r="S106" s="6">
        <f t="shared" si="15"/>
        <v>2014</v>
      </c>
    </row>
    <row r="107" spans="1:19" ht="12.75" x14ac:dyDescent="0.2">
      <c r="A107" s="2" t="s">
        <v>24</v>
      </c>
      <c r="B107" s="2" t="str">
        <f t="shared" si="8"/>
        <v>Channel Partners</v>
      </c>
      <c r="C107" s="2" t="s">
        <v>22</v>
      </c>
      <c r="D107" s="2" t="str">
        <f>PROPER(Table1[[#This Row],[Country]])</f>
        <v>Mexico</v>
      </c>
      <c r="E107" s="3" t="s">
        <v>23</v>
      </c>
      <c r="F107" s="3" t="s">
        <v>33</v>
      </c>
      <c r="G107" s="13">
        <v>690</v>
      </c>
      <c r="H107" s="4">
        <v>5</v>
      </c>
      <c r="I107" s="4">
        <v>12</v>
      </c>
      <c r="J107" s="4">
        <f t="shared" si="9"/>
        <v>8280</v>
      </c>
      <c r="K107" s="4">
        <v>165.6</v>
      </c>
      <c r="L107" s="4">
        <f t="shared" si="10"/>
        <v>8114.4</v>
      </c>
      <c r="M107" s="4">
        <v>2070</v>
      </c>
      <c r="N107" s="4">
        <f t="shared" si="11"/>
        <v>6044.4</v>
      </c>
      <c r="O107" s="16">
        <f t="shared" si="12"/>
        <v>0.74489795918367341</v>
      </c>
      <c r="P107" s="19">
        <v>41944</v>
      </c>
      <c r="Q107" s="5">
        <f t="shared" si="13"/>
        <v>11</v>
      </c>
      <c r="R107" s="3" t="str">
        <f t="shared" si="14"/>
        <v>November</v>
      </c>
      <c r="S107" s="6">
        <f t="shared" si="15"/>
        <v>2014</v>
      </c>
    </row>
    <row r="108" spans="1:19" ht="12.75" x14ac:dyDescent="0.2">
      <c r="A108" s="2" t="s">
        <v>25</v>
      </c>
      <c r="B108" s="2" t="str">
        <f t="shared" si="8"/>
        <v>Enterprise</v>
      </c>
      <c r="C108" s="2" t="s">
        <v>22</v>
      </c>
      <c r="D108" s="2" t="str">
        <f>PROPER(Table1[[#This Row],[Country]])</f>
        <v>Mexico</v>
      </c>
      <c r="E108" s="3" t="s">
        <v>23</v>
      </c>
      <c r="F108" s="3" t="s">
        <v>33</v>
      </c>
      <c r="G108" s="13">
        <v>1660</v>
      </c>
      <c r="H108" s="4">
        <v>5</v>
      </c>
      <c r="I108" s="4">
        <v>125</v>
      </c>
      <c r="J108" s="4">
        <f t="shared" si="9"/>
        <v>207500</v>
      </c>
      <c r="K108" s="4">
        <v>4150</v>
      </c>
      <c r="L108" s="4">
        <f t="shared" si="10"/>
        <v>203350</v>
      </c>
      <c r="M108" s="4">
        <v>199200</v>
      </c>
      <c r="N108" s="4">
        <f t="shared" si="11"/>
        <v>4150</v>
      </c>
      <c r="O108" s="16">
        <f t="shared" si="12"/>
        <v>2.0408163265306121E-2</v>
      </c>
      <c r="P108" s="19">
        <v>41579</v>
      </c>
      <c r="Q108" s="5">
        <f t="shared" si="13"/>
        <v>11</v>
      </c>
      <c r="R108" s="3" t="str">
        <f t="shared" si="14"/>
        <v>November</v>
      </c>
      <c r="S108" s="6">
        <f t="shared" si="15"/>
        <v>2013</v>
      </c>
    </row>
    <row r="109" spans="1:19" ht="12.75" x14ac:dyDescent="0.2">
      <c r="A109" s="2" t="s">
        <v>20</v>
      </c>
      <c r="B109" s="2" t="str">
        <f t="shared" si="8"/>
        <v>Midmarket</v>
      </c>
      <c r="C109" s="2" t="s">
        <v>16</v>
      </c>
      <c r="D109" s="2" t="str">
        <f>PROPER(Table1[[#This Row],[Country]])</f>
        <v>Canada</v>
      </c>
      <c r="E109" s="3" t="s">
        <v>28</v>
      </c>
      <c r="F109" s="3" t="s">
        <v>33</v>
      </c>
      <c r="G109" s="13">
        <v>2363</v>
      </c>
      <c r="H109" s="4">
        <v>10</v>
      </c>
      <c r="I109" s="4">
        <v>15</v>
      </c>
      <c r="J109" s="4">
        <f t="shared" si="9"/>
        <v>35445</v>
      </c>
      <c r="K109" s="4">
        <v>708.9</v>
      </c>
      <c r="L109" s="4">
        <f t="shared" si="10"/>
        <v>34736.1</v>
      </c>
      <c r="M109" s="4">
        <v>23630</v>
      </c>
      <c r="N109" s="4">
        <f t="shared" si="11"/>
        <v>11106.099999999999</v>
      </c>
      <c r="O109" s="16">
        <f t="shared" si="12"/>
        <v>0.31972789115646255</v>
      </c>
      <c r="P109" s="19">
        <v>41671</v>
      </c>
      <c r="Q109" s="5">
        <f t="shared" si="13"/>
        <v>2</v>
      </c>
      <c r="R109" s="3" t="str">
        <f t="shared" si="14"/>
        <v>February</v>
      </c>
      <c r="S109" s="6">
        <f t="shared" si="15"/>
        <v>2014</v>
      </c>
    </row>
    <row r="110" spans="1:19" ht="12.75" x14ac:dyDescent="0.2">
      <c r="A110" s="2" t="s">
        <v>29</v>
      </c>
      <c r="B110" s="2" t="str">
        <f t="shared" si="8"/>
        <v>Small Business</v>
      </c>
      <c r="C110" s="2" t="s">
        <v>21</v>
      </c>
      <c r="D110" s="2" t="str">
        <f>PROPER(Table1[[#This Row],[Country]])</f>
        <v>France</v>
      </c>
      <c r="E110" s="3" t="s">
        <v>28</v>
      </c>
      <c r="F110" s="3" t="s">
        <v>33</v>
      </c>
      <c r="G110" s="13">
        <v>918</v>
      </c>
      <c r="H110" s="4">
        <v>10</v>
      </c>
      <c r="I110" s="4">
        <v>300</v>
      </c>
      <c r="J110" s="4">
        <f t="shared" si="9"/>
        <v>275400</v>
      </c>
      <c r="K110" s="4">
        <v>5508</v>
      </c>
      <c r="L110" s="4">
        <f t="shared" si="10"/>
        <v>269892</v>
      </c>
      <c r="M110" s="4">
        <v>229500</v>
      </c>
      <c r="N110" s="4">
        <f t="shared" si="11"/>
        <v>40392</v>
      </c>
      <c r="O110" s="16">
        <f t="shared" si="12"/>
        <v>0.14965986394557823</v>
      </c>
      <c r="P110" s="19">
        <v>41760</v>
      </c>
      <c r="Q110" s="5">
        <f t="shared" si="13"/>
        <v>5</v>
      </c>
      <c r="R110" s="3" t="str">
        <f t="shared" si="14"/>
        <v>May</v>
      </c>
      <c r="S110" s="6">
        <f t="shared" si="15"/>
        <v>2014</v>
      </c>
    </row>
    <row r="111" spans="1:19" ht="12.75" x14ac:dyDescent="0.2">
      <c r="A111" s="2" t="s">
        <v>29</v>
      </c>
      <c r="B111" s="2" t="str">
        <f t="shared" si="8"/>
        <v>Small Business</v>
      </c>
      <c r="C111" s="2" t="s">
        <v>19</v>
      </c>
      <c r="D111" s="2" t="str">
        <f>PROPER(Table1[[#This Row],[Country]])</f>
        <v>Germany</v>
      </c>
      <c r="E111" s="3" t="s">
        <v>28</v>
      </c>
      <c r="F111" s="3" t="s">
        <v>33</v>
      </c>
      <c r="G111" s="13">
        <v>1728</v>
      </c>
      <c r="H111" s="4">
        <v>10</v>
      </c>
      <c r="I111" s="4">
        <v>300</v>
      </c>
      <c r="J111" s="4">
        <f t="shared" si="9"/>
        <v>518400</v>
      </c>
      <c r="K111" s="4">
        <v>10368</v>
      </c>
      <c r="L111" s="4">
        <f t="shared" si="10"/>
        <v>508032</v>
      </c>
      <c r="M111" s="4">
        <v>432000</v>
      </c>
      <c r="N111" s="4">
        <f t="shared" si="11"/>
        <v>76032</v>
      </c>
      <c r="O111" s="16">
        <f t="shared" si="12"/>
        <v>0.14965986394557823</v>
      </c>
      <c r="P111" s="19">
        <v>41760</v>
      </c>
      <c r="Q111" s="5">
        <f t="shared" si="13"/>
        <v>5</v>
      </c>
      <c r="R111" s="3" t="str">
        <f t="shared" si="14"/>
        <v>May</v>
      </c>
      <c r="S111" s="6">
        <f t="shared" si="15"/>
        <v>2014</v>
      </c>
    </row>
    <row r="112" spans="1:19" ht="12.75" x14ac:dyDescent="0.2">
      <c r="A112" s="2" t="s">
        <v>24</v>
      </c>
      <c r="B112" s="2" t="str">
        <f t="shared" si="8"/>
        <v>Channel Partners</v>
      </c>
      <c r="C112" s="2" t="s">
        <v>71</v>
      </c>
      <c r="D112" s="2" t="str">
        <f>PROPER(Table1[[#This Row],[Country]])</f>
        <v>Usa</v>
      </c>
      <c r="E112" s="3" t="s">
        <v>28</v>
      </c>
      <c r="F112" s="3" t="s">
        <v>33</v>
      </c>
      <c r="G112" s="13">
        <v>1142</v>
      </c>
      <c r="H112" s="4">
        <v>10</v>
      </c>
      <c r="I112" s="4">
        <v>12</v>
      </c>
      <c r="J112" s="4">
        <f t="shared" si="9"/>
        <v>13704</v>
      </c>
      <c r="K112" s="4">
        <v>274.08</v>
      </c>
      <c r="L112" s="4">
        <f t="shared" si="10"/>
        <v>13429.92</v>
      </c>
      <c r="M112" s="4">
        <v>3426</v>
      </c>
      <c r="N112" s="4">
        <f t="shared" si="11"/>
        <v>10003.92</v>
      </c>
      <c r="O112" s="16">
        <f t="shared" si="12"/>
        <v>0.74489795918367352</v>
      </c>
      <c r="P112" s="19">
        <v>41791</v>
      </c>
      <c r="Q112" s="5">
        <f t="shared" si="13"/>
        <v>6</v>
      </c>
      <c r="R112" s="3" t="str">
        <f t="shared" si="14"/>
        <v>June</v>
      </c>
      <c r="S112" s="6">
        <f t="shared" si="15"/>
        <v>2014</v>
      </c>
    </row>
    <row r="113" spans="1:19" ht="12.75" x14ac:dyDescent="0.2">
      <c r="A113" s="2" t="s">
        <v>25</v>
      </c>
      <c r="B113" s="2" t="str">
        <f t="shared" si="8"/>
        <v>Enterprise</v>
      </c>
      <c r="C113" s="2" t="s">
        <v>22</v>
      </c>
      <c r="D113" s="2" t="str">
        <f>PROPER(Table1[[#This Row],[Country]])</f>
        <v>Mexico</v>
      </c>
      <c r="E113" s="3" t="s">
        <v>28</v>
      </c>
      <c r="F113" s="3" t="s">
        <v>33</v>
      </c>
      <c r="G113" s="13">
        <v>662</v>
      </c>
      <c r="H113" s="4">
        <v>10</v>
      </c>
      <c r="I113" s="4">
        <v>125</v>
      </c>
      <c r="J113" s="4">
        <f t="shared" si="9"/>
        <v>82750</v>
      </c>
      <c r="K113" s="4">
        <v>1655</v>
      </c>
      <c r="L113" s="4">
        <f t="shared" si="10"/>
        <v>81095</v>
      </c>
      <c r="M113" s="4">
        <v>79440</v>
      </c>
      <c r="N113" s="4">
        <f t="shared" si="11"/>
        <v>1655</v>
      </c>
      <c r="O113" s="16">
        <f t="shared" si="12"/>
        <v>2.0408163265306121E-2</v>
      </c>
      <c r="P113" s="19">
        <v>41791</v>
      </c>
      <c r="Q113" s="5">
        <f t="shared" si="13"/>
        <v>6</v>
      </c>
      <c r="R113" s="3" t="str">
        <f t="shared" si="14"/>
        <v>June</v>
      </c>
      <c r="S113" s="6">
        <f t="shared" si="15"/>
        <v>2014</v>
      </c>
    </row>
    <row r="114" spans="1:19" ht="12.75" x14ac:dyDescent="0.2">
      <c r="A114" s="2" t="s">
        <v>24</v>
      </c>
      <c r="B114" s="2" t="str">
        <f t="shared" si="8"/>
        <v>Channel Partners</v>
      </c>
      <c r="C114" s="2" t="s">
        <v>16</v>
      </c>
      <c r="D114" s="2" t="str">
        <f>PROPER(Table1[[#This Row],[Country]])</f>
        <v>Canada</v>
      </c>
      <c r="E114" s="3" t="s">
        <v>28</v>
      </c>
      <c r="F114" s="3" t="s">
        <v>33</v>
      </c>
      <c r="G114" s="13">
        <v>1295</v>
      </c>
      <c r="H114" s="4">
        <v>10</v>
      </c>
      <c r="I114" s="4">
        <v>12</v>
      </c>
      <c r="J114" s="4">
        <f t="shared" si="9"/>
        <v>15540</v>
      </c>
      <c r="K114" s="4">
        <v>310.8</v>
      </c>
      <c r="L114" s="4">
        <f t="shared" si="10"/>
        <v>15229.2</v>
      </c>
      <c r="M114" s="4">
        <v>3885</v>
      </c>
      <c r="N114" s="4">
        <f t="shared" si="11"/>
        <v>11344.2</v>
      </c>
      <c r="O114" s="16">
        <f t="shared" si="12"/>
        <v>0.74489795918367352</v>
      </c>
      <c r="P114" s="19">
        <v>41913</v>
      </c>
      <c r="Q114" s="5">
        <f t="shared" si="13"/>
        <v>10</v>
      </c>
      <c r="R114" s="3" t="str">
        <f t="shared" si="14"/>
        <v>October</v>
      </c>
      <c r="S114" s="6">
        <f t="shared" si="15"/>
        <v>2014</v>
      </c>
    </row>
    <row r="115" spans="1:19" ht="12.75" x14ac:dyDescent="0.2">
      <c r="A115" s="2" t="s">
        <v>25</v>
      </c>
      <c r="B115" s="2" t="str">
        <f t="shared" si="8"/>
        <v>Enterprise</v>
      </c>
      <c r="C115" s="2" t="s">
        <v>19</v>
      </c>
      <c r="D115" s="2" t="str">
        <f>PROPER(Table1[[#This Row],[Country]])</f>
        <v>Germany</v>
      </c>
      <c r="E115" s="3" t="s">
        <v>28</v>
      </c>
      <c r="F115" s="3" t="s">
        <v>33</v>
      </c>
      <c r="G115" s="13">
        <v>809</v>
      </c>
      <c r="H115" s="4">
        <v>10</v>
      </c>
      <c r="I115" s="4">
        <v>125</v>
      </c>
      <c r="J115" s="4">
        <f t="shared" si="9"/>
        <v>101125</v>
      </c>
      <c r="K115" s="4">
        <v>2022.5</v>
      </c>
      <c r="L115" s="4">
        <f t="shared" si="10"/>
        <v>99102.5</v>
      </c>
      <c r="M115" s="4">
        <v>97080</v>
      </c>
      <c r="N115" s="4">
        <f t="shared" si="11"/>
        <v>2022.5</v>
      </c>
      <c r="O115" s="16">
        <f t="shared" si="12"/>
        <v>2.0408163265306121E-2</v>
      </c>
      <c r="P115" s="19">
        <v>41548</v>
      </c>
      <c r="Q115" s="5">
        <f t="shared" si="13"/>
        <v>10</v>
      </c>
      <c r="R115" s="3" t="str">
        <f t="shared" si="14"/>
        <v>October</v>
      </c>
      <c r="S115" s="6">
        <f t="shared" si="15"/>
        <v>2013</v>
      </c>
    </row>
    <row r="116" spans="1:19" ht="12.75" x14ac:dyDescent="0.2">
      <c r="A116" s="2" t="s">
        <v>25</v>
      </c>
      <c r="B116" s="2" t="str">
        <f t="shared" si="8"/>
        <v>Enterprise</v>
      </c>
      <c r="C116" s="2" t="s">
        <v>22</v>
      </c>
      <c r="D116" s="2" t="str">
        <f>PROPER(Table1[[#This Row],[Country]])</f>
        <v>Mexico</v>
      </c>
      <c r="E116" s="3" t="s">
        <v>28</v>
      </c>
      <c r="F116" s="3" t="s">
        <v>33</v>
      </c>
      <c r="G116" s="13">
        <v>2145</v>
      </c>
      <c r="H116" s="4">
        <v>10</v>
      </c>
      <c r="I116" s="4">
        <v>125</v>
      </c>
      <c r="J116" s="4">
        <f t="shared" si="9"/>
        <v>268125</v>
      </c>
      <c r="K116" s="4">
        <v>5362.5</v>
      </c>
      <c r="L116" s="4">
        <f t="shared" si="10"/>
        <v>262762.5</v>
      </c>
      <c r="M116" s="4">
        <v>257400</v>
      </c>
      <c r="N116" s="4">
        <f t="shared" si="11"/>
        <v>5362.5</v>
      </c>
      <c r="O116" s="16">
        <f t="shared" si="12"/>
        <v>2.0408163265306121E-2</v>
      </c>
      <c r="P116" s="19">
        <v>41548</v>
      </c>
      <c r="Q116" s="5">
        <f t="shared" si="13"/>
        <v>10</v>
      </c>
      <c r="R116" s="3" t="str">
        <f t="shared" si="14"/>
        <v>October</v>
      </c>
      <c r="S116" s="6">
        <f t="shared" si="15"/>
        <v>2013</v>
      </c>
    </row>
    <row r="117" spans="1:19" ht="12.75" x14ac:dyDescent="0.2">
      <c r="A117" s="2" t="s">
        <v>24</v>
      </c>
      <c r="B117" s="2" t="str">
        <f t="shared" si="8"/>
        <v>Channel Partners</v>
      </c>
      <c r="C117" s="2" t="s">
        <v>21</v>
      </c>
      <c r="D117" s="2" t="str">
        <f>PROPER(Table1[[#This Row],[Country]])</f>
        <v>France</v>
      </c>
      <c r="E117" s="3" t="s">
        <v>28</v>
      </c>
      <c r="F117" s="3" t="s">
        <v>33</v>
      </c>
      <c r="G117" s="13">
        <v>1785</v>
      </c>
      <c r="H117" s="4">
        <v>10</v>
      </c>
      <c r="I117" s="4">
        <v>12</v>
      </c>
      <c r="J117" s="4">
        <f t="shared" si="9"/>
        <v>21420</v>
      </c>
      <c r="K117" s="4">
        <v>428.4</v>
      </c>
      <c r="L117" s="4">
        <f t="shared" si="10"/>
        <v>20991.599999999999</v>
      </c>
      <c r="M117" s="4">
        <v>5355</v>
      </c>
      <c r="N117" s="4">
        <f t="shared" si="11"/>
        <v>15636.599999999999</v>
      </c>
      <c r="O117" s="16">
        <f t="shared" si="12"/>
        <v>0.74489795918367341</v>
      </c>
      <c r="P117" s="19">
        <v>41579</v>
      </c>
      <c r="Q117" s="5">
        <f t="shared" si="13"/>
        <v>11</v>
      </c>
      <c r="R117" s="3" t="str">
        <f t="shared" si="14"/>
        <v>November</v>
      </c>
      <c r="S117" s="6">
        <f t="shared" si="15"/>
        <v>2013</v>
      </c>
    </row>
    <row r="118" spans="1:19" ht="12.75" x14ac:dyDescent="0.2">
      <c r="A118" s="2" t="s">
        <v>29</v>
      </c>
      <c r="B118" s="2" t="str">
        <f t="shared" si="8"/>
        <v>Small Business</v>
      </c>
      <c r="C118" s="2" t="s">
        <v>16</v>
      </c>
      <c r="D118" s="2" t="str">
        <f>PROPER(Table1[[#This Row],[Country]])</f>
        <v>Canada</v>
      </c>
      <c r="E118" s="3" t="s">
        <v>28</v>
      </c>
      <c r="F118" s="3" t="s">
        <v>33</v>
      </c>
      <c r="G118" s="13">
        <v>1916</v>
      </c>
      <c r="H118" s="4">
        <v>10</v>
      </c>
      <c r="I118" s="4">
        <v>300</v>
      </c>
      <c r="J118" s="4">
        <f t="shared" si="9"/>
        <v>574800</v>
      </c>
      <c r="K118" s="4">
        <v>11496</v>
      </c>
      <c r="L118" s="4">
        <f t="shared" si="10"/>
        <v>563304</v>
      </c>
      <c r="M118" s="4">
        <v>479000</v>
      </c>
      <c r="N118" s="4">
        <f t="shared" si="11"/>
        <v>84304</v>
      </c>
      <c r="O118" s="16">
        <f t="shared" si="12"/>
        <v>0.14965986394557823</v>
      </c>
      <c r="P118" s="19">
        <v>41974</v>
      </c>
      <c r="Q118" s="5">
        <f t="shared" si="13"/>
        <v>12</v>
      </c>
      <c r="R118" s="3" t="str">
        <f t="shared" si="14"/>
        <v>December</v>
      </c>
      <c r="S118" s="6">
        <f t="shared" si="15"/>
        <v>2014</v>
      </c>
    </row>
    <row r="119" spans="1:19" ht="12.75" x14ac:dyDescent="0.2">
      <c r="A119" s="2" t="s">
        <v>15</v>
      </c>
      <c r="B119" s="2" t="str">
        <f t="shared" si="8"/>
        <v>Government</v>
      </c>
      <c r="C119" s="2" t="s">
        <v>16</v>
      </c>
      <c r="D119" s="2" t="str">
        <f>PROPER(Table1[[#This Row],[Country]])</f>
        <v>Canada</v>
      </c>
      <c r="E119" s="3" t="s">
        <v>28</v>
      </c>
      <c r="F119" s="3" t="s">
        <v>33</v>
      </c>
      <c r="G119" s="13">
        <v>2852</v>
      </c>
      <c r="H119" s="4">
        <v>10</v>
      </c>
      <c r="I119" s="4">
        <v>350</v>
      </c>
      <c r="J119" s="4">
        <f t="shared" si="9"/>
        <v>998200</v>
      </c>
      <c r="K119" s="4">
        <v>19964</v>
      </c>
      <c r="L119" s="4">
        <f t="shared" si="10"/>
        <v>978236</v>
      </c>
      <c r="M119" s="4">
        <v>741520</v>
      </c>
      <c r="N119" s="4">
        <f t="shared" si="11"/>
        <v>236716</v>
      </c>
      <c r="O119" s="16">
        <f t="shared" si="12"/>
        <v>0.24198250728862974</v>
      </c>
      <c r="P119" s="19">
        <v>41974</v>
      </c>
      <c r="Q119" s="5">
        <f t="shared" si="13"/>
        <v>12</v>
      </c>
      <c r="R119" s="3" t="str">
        <f t="shared" si="14"/>
        <v>December</v>
      </c>
      <c r="S119" s="6">
        <f t="shared" si="15"/>
        <v>2014</v>
      </c>
    </row>
    <row r="120" spans="1:19" ht="12.75" x14ac:dyDescent="0.2">
      <c r="A120" s="2" t="s">
        <v>25</v>
      </c>
      <c r="B120" s="2" t="str">
        <f t="shared" si="8"/>
        <v>Enterprise</v>
      </c>
      <c r="C120" s="2" t="s">
        <v>16</v>
      </c>
      <c r="D120" s="2" t="str">
        <f>PROPER(Table1[[#This Row],[Country]])</f>
        <v>Canada</v>
      </c>
      <c r="E120" s="3" t="s">
        <v>28</v>
      </c>
      <c r="F120" s="3" t="s">
        <v>33</v>
      </c>
      <c r="G120" s="13">
        <v>2729</v>
      </c>
      <c r="H120" s="4">
        <v>10</v>
      </c>
      <c r="I120" s="4">
        <v>125</v>
      </c>
      <c r="J120" s="4">
        <f t="shared" si="9"/>
        <v>341125</v>
      </c>
      <c r="K120" s="4">
        <v>6822.5</v>
      </c>
      <c r="L120" s="4">
        <f t="shared" si="10"/>
        <v>334302.5</v>
      </c>
      <c r="M120" s="4">
        <v>327480</v>
      </c>
      <c r="N120" s="4">
        <f t="shared" si="11"/>
        <v>6822.5</v>
      </c>
      <c r="O120" s="16">
        <f t="shared" si="12"/>
        <v>2.0408163265306121E-2</v>
      </c>
      <c r="P120" s="19">
        <v>41974</v>
      </c>
      <c r="Q120" s="5">
        <f t="shared" si="13"/>
        <v>12</v>
      </c>
      <c r="R120" s="3" t="str">
        <f t="shared" si="14"/>
        <v>December</v>
      </c>
      <c r="S120" s="6">
        <f t="shared" si="15"/>
        <v>2014</v>
      </c>
    </row>
    <row r="121" spans="1:19" ht="12.75" x14ac:dyDescent="0.2">
      <c r="A121" s="2" t="s">
        <v>20</v>
      </c>
      <c r="B121" s="2" t="str">
        <f t="shared" si="8"/>
        <v>Midmarket</v>
      </c>
      <c r="C121" s="2" t="s">
        <v>71</v>
      </c>
      <c r="D121" s="2" t="str">
        <f>PROPER(Table1[[#This Row],[Country]])</f>
        <v>Usa</v>
      </c>
      <c r="E121" s="3" t="s">
        <v>28</v>
      </c>
      <c r="F121" s="3" t="s">
        <v>33</v>
      </c>
      <c r="G121" s="13">
        <v>1925</v>
      </c>
      <c r="H121" s="4">
        <v>10</v>
      </c>
      <c r="I121" s="4">
        <v>15</v>
      </c>
      <c r="J121" s="4">
        <f t="shared" si="9"/>
        <v>28875</v>
      </c>
      <c r="K121" s="4">
        <v>577.5</v>
      </c>
      <c r="L121" s="4">
        <f t="shared" si="10"/>
        <v>28297.5</v>
      </c>
      <c r="M121" s="4">
        <v>19250</v>
      </c>
      <c r="N121" s="4">
        <f t="shared" si="11"/>
        <v>9047.5</v>
      </c>
      <c r="O121" s="16">
        <f t="shared" si="12"/>
        <v>0.31972789115646261</v>
      </c>
      <c r="P121" s="19">
        <v>41609</v>
      </c>
      <c r="Q121" s="5">
        <f t="shared" si="13"/>
        <v>12</v>
      </c>
      <c r="R121" s="3" t="str">
        <f t="shared" si="14"/>
        <v>December</v>
      </c>
      <c r="S121" s="6">
        <f t="shared" si="15"/>
        <v>2013</v>
      </c>
    </row>
    <row r="122" spans="1:19" ht="12.75" x14ac:dyDescent="0.2">
      <c r="A122" s="2" t="s">
        <v>15</v>
      </c>
      <c r="B122" s="2" t="str">
        <f t="shared" si="8"/>
        <v>Government</v>
      </c>
      <c r="C122" s="2" t="s">
        <v>71</v>
      </c>
      <c r="D122" s="2" t="str">
        <f>PROPER(Table1[[#This Row],[Country]])</f>
        <v>Usa</v>
      </c>
      <c r="E122" s="3" t="s">
        <v>28</v>
      </c>
      <c r="F122" s="3" t="s">
        <v>33</v>
      </c>
      <c r="G122" s="13">
        <v>2013</v>
      </c>
      <c r="H122" s="4">
        <v>10</v>
      </c>
      <c r="I122" s="4">
        <v>7</v>
      </c>
      <c r="J122" s="4">
        <f t="shared" si="9"/>
        <v>14091</v>
      </c>
      <c r="K122" s="4">
        <v>281.82</v>
      </c>
      <c r="L122" s="4">
        <f t="shared" si="10"/>
        <v>13809.18</v>
      </c>
      <c r="M122" s="4">
        <v>10065</v>
      </c>
      <c r="N122" s="4">
        <f t="shared" si="11"/>
        <v>3744.1800000000003</v>
      </c>
      <c r="O122" s="16">
        <f t="shared" si="12"/>
        <v>0.27113702623906705</v>
      </c>
      <c r="P122" s="19">
        <v>41609</v>
      </c>
      <c r="Q122" s="5">
        <f t="shared" si="13"/>
        <v>12</v>
      </c>
      <c r="R122" s="3" t="str">
        <f t="shared" si="14"/>
        <v>December</v>
      </c>
      <c r="S122" s="6">
        <f t="shared" si="15"/>
        <v>2013</v>
      </c>
    </row>
    <row r="123" spans="1:19" ht="12.75" x14ac:dyDescent="0.2">
      <c r="A123" s="2" t="s">
        <v>24</v>
      </c>
      <c r="B123" s="2" t="str">
        <f t="shared" si="8"/>
        <v>Channel Partners</v>
      </c>
      <c r="C123" s="2" t="s">
        <v>21</v>
      </c>
      <c r="D123" s="2" t="str">
        <f>PROPER(Table1[[#This Row],[Country]])</f>
        <v>France</v>
      </c>
      <c r="E123" s="3" t="s">
        <v>28</v>
      </c>
      <c r="F123" s="3" t="s">
        <v>33</v>
      </c>
      <c r="G123" s="13">
        <v>1055</v>
      </c>
      <c r="H123" s="4">
        <v>10</v>
      </c>
      <c r="I123" s="4">
        <v>12</v>
      </c>
      <c r="J123" s="4">
        <f t="shared" si="9"/>
        <v>12660</v>
      </c>
      <c r="K123" s="4">
        <v>253.2</v>
      </c>
      <c r="L123" s="4">
        <f t="shared" si="10"/>
        <v>12406.8</v>
      </c>
      <c r="M123" s="4">
        <v>3165</v>
      </c>
      <c r="N123" s="4">
        <f t="shared" si="11"/>
        <v>9241.7999999999993</v>
      </c>
      <c r="O123" s="16">
        <f t="shared" si="12"/>
        <v>0.74489795918367341</v>
      </c>
      <c r="P123" s="19">
        <v>41974</v>
      </c>
      <c r="Q123" s="5">
        <f t="shared" si="13"/>
        <v>12</v>
      </c>
      <c r="R123" s="3" t="str">
        <f t="shared" si="14"/>
        <v>December</v>
      </c>
      <c r="S123" s="6">
        <f t="shared" si="15"/>
        <v>2014</v>
      </c>
    </row>
    <row r="124" spans="1:19" ht="12.75" x14ac:dyDescent="0.2">
      <c r="A124" s="2" t="s">
        <v>24</v>
      </c>
      <c r="B124" s="2" t="str">
        <f t="shared" si="8"/>
        <v>Channel Partners</v>
      </c>
      <c r="C124" s="2" t="s">
        <v>22</v>
      </c>
      <c r="D124" s="2" t="str">
        <f>PROPER(Table1[[#This Row],[Country]])</f>
        <v>Mexico</v>
      </c>
      <c r="E124" s="3" t="s">
        <v>28</v>
      </c>
      <c r="F124" s="3" t="s">
        <v>33</v>
      </c>
      <c r="G124" s="13">
        <v>1084</v>
      </c>
      <c r="H124" s="4">
        <v>10</v>
      </c>
      <c r="I124" s="4">
        <v>12</v>
      </c>
      <c r="J124" s="4">
        <f t="shared" si="9"/>
        <v>13008</v>
      </c>
      <c r="K124" s="4">
        <v>260.16000000000003</v>
      </c>
      <c r="L124" s="4">
        <f t="shared" si="10"/>
        <v>12747.84</v>
      </c>
      <c r="M124" s="4">
        <v>3252</v>
      </c>
      <c r="N124" s="4">
        <f t="shared" si="11"/>
        <v>9495.84</v>
      </c>
      <c r="O124" s="16">
        <f t="shared" si="12"/>
        <v>0.74489795918367352</v>
      </c>
      <c r="P124" s="19">
        <v>41974</v>
      </c>
      <c r="Q124" s="5">
        <f t="shared" si="13"/>
        <v>12</v>
      </c>
      <c r="R124" s="3" t="str">
        <f t="shared" si="14"/>
        <v>December</v>
      </c>
      <c r="S124" s="6">
        <f t="shared" si="15"/>
        <v>2014</v>
      </c>
    </row>
    <row r="125" spans="1:19" ht="12.75" x14ac:dyDescent="0.2">
      <c r="A125" s="2" t="s">
        <v>15</v>
      </c>
      <c r="B125" s="2" t="str">
        <f t="shared" si="8"/>
        <v>Government</v>
      </c>
      <c r="C125" s="2" t="s">
        <v>71</v>
      </c>
      <c r="D125" s="2" t="str">
        <f>PROPER(Table1[[#This Row],[Country]])</f>
        <v>Usa</v>
      </c>
      <c r="E125" s="3" t="s">
        <v>30</v>
      </c>
      <c r="F125" s="3" t="s">
        <v>33</v>
      </c>
      <c r="G125" s="13">
        <v>1566</v>
      </c>
      <c r="H125" s="4">
        <v>120</v>
      </c>
      <c r="I125" s="4">
        <v>20</v>
      </c>
      <c r="J125" s="4">
        <f t="shared" si="9"/>
        <v>31320</v>
      </c>
      <c r="K125" s="4">
        <v>626.4</v>
      </c>
      <c r="L125" s="4">
        <f t="shared" si="10"/>
        <v>30693.599999999999</v>
      </c>
      <c r="M125" s="4">
        <v>15660</v>
      </c>
      <c r="N125" s="4">
        <f t="shared" si="11"/>
        <v>15033.599999999999</v>
      </c>
      <c r="O125" s="16">
        <f t="shared" si="12"/>
        <v>0.48979591836734693</v>
      </c>
      <c r="P125" s="19">
        <v>41913</v>
      </c>
      <c r="Q125" s="5">
        <f t="shared" si="13"/>
        <v>10</v>
      </c>
      <c r="R125" s="3" t="str">
        <f t="shared" si="14"/>
        <v>October</v>
      </c>
      <c r="S125" s="6">
        <f t="shared" si="15"/>
        <v>2014</v>
      </c>
    </row>
    <row r="126" spans="1:19" ht="12.75" x14ac:dyDescent="0.2">
      <c r="A126" s="2" t="s">
        <v>15</v>
      </c>
      <c r="B126" s="2" t="str">
        <f t="shared" si="8"/>
        <v>Government</v>
      </c>
      <c r="C126" s="2" t="s">
        <v>19</v>
      </c>
      <c r="D126" s="2" t="str">
        <f>PROPER(Table1[[#This Row],[Country]])</f>
        <v>Germany</v>
      </c>
      <c r="E126" s="3" t="s">
        <v>30</v>
      </c>
      <c r="F126" s="3" t="s">
        <v>33</v>
      </c>
      <c r="G126" s="13">
        <v>2966</v>
      </c>
      <c r="H126" s="4">
        <v>120</v>
      </c>
      <c r="I126" s="4">
        <v>350</v>
      </c>
      <c r="J126" s="4">
        <f t="shared" si="9"/>
        <v>1038100</v>
      </c>
      <c r="K126" s="4">
        <v>20762</v>
      </c>
      <c r="L126" s="4">
        <f t="shared" si="10"/>
        <v>1017338</v>
      </c>
      <c r="M126" s="4">
        <v>771160</v>
      </c>
      <c r="N126" s="4">
        <f t="shared" si="11"/>
        <v>246178</v>
      </c>
      <c r="O126" s="16">
        <f t="shared" si="12"/>
        <v>0.24198250728862974</v>
      </c>
      <c r="P126" s="19">
        <v>41548</v>
      </c>
      <c r="Q126" s="5">
        <f t="shared" si="13"/>
        <v>10</v>
      </c>
      <c r="R126" s="3" t="str">
        <f t="shared" si="14"/>
        <v>October</v>
      </c>
      <c r="S126" s="6">
        <f t="shared" si="15"/>
        <v>2013</v>
      </c>
    </row>
    <row r="127" spans="1:19" ht="12.75" x14ac:dyDescent="0.2">
      <c r="A127" s="2" t="s">
        <v>15</v>
      </c>
      <c r="B127" s="2" t="str">
        <f t="shared" si="8"/>
        <v>Government</v>
      </c>
      <c r="C127" s="2" t="s">
        <v>19</v>
      </c>
      <c r="D127" s="2" t="str">
        <f>PROPER(Table1[[#This Row],[Country]])</f>
        <v>Germany</v>
      </c>
      <c r="E127" s="3" t="s">
        <v>30</v>
      </c>
      <c r="F127" s="3" t="s">
        <v>33</v>
      </c>
      <c r="G127" s="13">
        <v>2877</v>
      </c>
      <c r="H127" s="4">
        <v>120</v>
      </c>
      <c r="I127" s="4">
        <v>350</v>
      </c>
      <c r="J127" s="4">
        <f t="shared" si="9"/>
        <v>1006950</v>
      </c>
      <c r="K127" s="4">
        <v>20139</v>
      </c>
      <c r="L127" s="4">
        <f t="shared" si="10"/>
        <v>986811</v>
      </c>
      <c r="M127" s="4">
        <v>748020</v>
      </c>
      <c r="N127" s="4">
        <f t="shared" si="11"/>
        <v>238791</v>
      </c>
      <c r="O127" s="16">
        <f t="shared" si="12"/>
        <v>0.24198250728862974</v>
      </c>
      <c r="P127" s="19">
        <v>41913</v>
      </c>
      <c r="Q127" s="5">
        <f t="shared" si="13"/>
        <v>10</v>
      </c>
      <c r="R127" s="3" t="str">
        <f t="shared" si="14"/>
        <v>October</v>
      </c>
      <c r="S127" s="6">
        <f t="shared" si="15"/>
        <v>2014</v>
      </c>
    </row>
    <row r="128" spans="1:19" ht="12.75" x14ac:dyDescent="0.2">
      <c r="A128" s="2" t="s">
        <v>25</v>
      </c>
      <c r="B128" s="2" t="str">
        <f t="shared" si="8"/>
        <v>Enterprise</v>
      </c>
      <c r="C128" s="2" t="s">
        <v>19</v>
      </c>
      <c r="D128" s="2" t="str">
        <f>PROPER(Table1[[#This Row],[Country]])</f>
        <v>Germany</v>
      </c>
      <c r="E128" s="3" t="s">
        <v>30</v>
      </c>
      <c r="F128" s="3" t="s">
        <v>33</v>
      </c>
      <c r="G128" s="13">
        <v>809</v>
      </c>
      <c r="H128" s="4">
        <v>120</v>
      </c>
      <c r="I128" s="4">
        <v>125</v>
      </c>
      <c r="J128" s="4">
        <f t="shared" si="9"/>
        <v>101125</v>
      </c>
      <c r="K128" s="4">
        <v>2022.5</v>
      </c>
      <c r="L128" s="4">
        <f t="shared" si="10"/>
        <v>99102.5</v>
      </c>
      <c r="M128" s="4">
        <v>97080</v>
      </c>
      <c r="N128" s="4">
        <f t="shared" si="11"/>
        <v>2022.5</v>
      </c>
      <c r="O128" s="16">
        <f t="shared" si="12"/>
        <v>2.0408163265306121E-2</v>
      </c>
      <c r="P128" s="19">
        <v>41548</v>
      </c>
      <c r="Q128" s="5">
        <f t="shared" si="13"/>
        <v>10</v>
      </c>
      <c r="R128" s="3" t="str">
        <f t="shared" si="14"/>
        <v>October</v>
      </c>
      <c r="S128" s="6">
        <f t="shared" si="15"/>
        <v>2013</v>
      </c>
    </row>
    <row r="129" spans="1:19" ht="12.75" x14ac:dyDescent="0.2">
      <c r="A129" s="2" t="s">
        <v>25</v>
      </c>
      <c r="B129" s="2" t="str">
        <f t="shared" si="8"/>
        <v>Enterprise</v>
      </c>
      <c r="C129" s="2" t="s">
        <v>22</v>
      </c>
      <c r="D129" s="2" t="str">
        <f>PROPER(Table1[[#This Row],[Country]])</f>
        <v>Mexico</v>
      </c>
      <c r="E129" s="3" t="s">
        <v>30</v>
      </c>
      <c r="F129" s="3" t="s">
        <v>33</v>
      </c>
      <c r="G129" s="13">
        <v>2145</v>
      </c>
      <c r="H129" s="4">
        <v>120</v>
      </c>
      <c r="I129" s="4">
        <v>125</v>
      </c>
      <c r="J129" s="4">
        <f t="shared" si="9"/>
        <v>268125</v>
      </c>
      <c r="K129" s="4">
        <v>5362.5</v>
      </c>
      <c r="L129" s="4">
        <f t="shared" si="10"/>
        <v>262762.5</v>
      </c>
      <c r="M129" s="4">
        <v>257400</v>
      </c>
      <c r="N129" s="4">
        <f t="shared" si="11"/>
        <v>5362.5</v>
      </c>
      <c r="O129" s="16">
        <f t="shared" si="12"/>
        <v>2.0408163265306121E-2</v>
      </c>
      <c r="P129" s="19">
        <v>41548</v>
      </c>
      <c r="Q129" s="5">
        <f t="shared" si="13"/>
        <v>10</v>
      </c>
      <c r="R129" s="3" t="str">
        <f t="shared" si="14"/>
        <v>October</v>
      </c>
      <c r="S129" s="6">
        <f t="shared" si="15"/>
        <v>2013</v>
      </c>
    </row>
    <row r="130" spans="1:19" ht="12.75" x14ac:dyDescent="0.2">
      <c r="A130" s="2" t="s">
        <v>24</v>
      </c>
      <c r="B130" s="2" t="str">
        <f t="shared" ref="B130:B193" si="16">PROPER(A130)</f>
        <v>Channel Partners</v>
      </c>
      <c r="C130" s="2" t="s">
        <v>21</v>
      </c>
      <c r="D130" s="2" t="str">
        <f>PROPER(Table1[[#This Row],[Country]])</f>
        <v>France</v>
      </c>
      <c r="E130" s="3" t="s">
        <v>30</v>
      </c>
      <c r="F130" s="3" t="s">
        <v>33</v>
      </c>
      <c r="G130" s="13">
        <v>1055</v>
      </c>
      <c r="H130" s="4">
        <v>120</v>
      </c>
      <c r="I130" s="4">
        <v>12</v>
      </c>
      <c r="J130" s="4">
        <f t="shared" si="9"/>
        <v>12660</v>
      </c>
      <c r="K130" s="4">
        <v>253.2</v>
      </c>
      <c r="L130" s="4">
        <f t="shared" si="10"/>
        <v>12406.8</v>
      </c>
      <c r="M130" s="4">
        <v>3165</v>
      </c>
      <c r="N130" s="4">
        <f t="shared" si="11"/>
        <v>9241.7999999999993</v>
      </c>
      <c r="O130" s="16">
        <f t="shared" si="12"/>
        <v>0.74489795918367341</v>
      </c>
      <c r="P130" s="19">
        <v>41974</v>
      </c>
      <c r="Q130" s="5">
        <f t="shared" si="13"/>
        <v>12</v>
      </c>
      <c r="R130" s="3" t="str">
        <f t="shared" si="14"/>
        <v>December</v>
      </c>
      <c r="S130" s="6">
        <f t="shared" si="15"/>
        <v>2014</v>
      </c>
    </row>
    <row r="131" spans="1:19" ht="12.75" x14ac:dyDescent="0.2">
      <c r="A131" s="2" t="s">
        <v>15</v>
      </c>
      <c r="B131" s="2" t="str">
        <f t="shared" si="16"/>
        <v>Government</v>
      </c>
      <c r="C131" s="2" t="s">
        <v>22</v>
      </c>
      <c r="D131" s="2" t="str">
        <f>PROPER(Table1[[#This Row],[Country]])</f>
        <v>Mexico</v>
      </c>
      <c r="E131" s="3" t="s">
        <v>30</v>
      </c>
      <c r="F131" s="3" t="s">
        <v>33</v>
      </c>
      <c r="G131" s="13">
        <v>544</v>
      </c>
      <c r="H131" s="4">
        <v>120</v>
      </c>
      <c r="I131" s="4">
        <v>20</v>
      </c>
      <c r="J131" s="4">
        <f t="shared" ref="J131:J194" si="17">G131*I131</f>
        <v>10880</v>
      </c>
      <c r="K131" s="4">
        <v>217.6</v>
      </c>
      <c r="L131" s="4">
        <f t="shared" ref="L131:L194" si="18">J131-K131</f>
        <v>10662.4</v>
      </c>
      <c r="M131" s="4">
        <v>5440</v>
      </c>
      <c r="N131" s="4">
        <f t="shared" ref="N131:N194" si="19">L131-M131</f>
        <v>5222.3999999999996</v>
      </c>
      <c r="O131" s="16">
        <f t="shared" ref="O131:O194" si="20">N131/L131</f>
        <v>0.48979591836734693</v>
      </c>
      <c r="P131" s="19">
        <v>41609</v>
      </c>
      <c r="Q131" s="5">
        <f t="shared" ref="Q131:Q194" si="21">MONTH(P131)</f>
        <v>12</v>
      </c>
      <c r="R131" s="3" t="str">
        <f t="shared" ref="R131:R194" si="22">TEXT(P131,"mmmm")</f>
        <v>December</v>
      </c>
      <c r="S131" s="6">
        <f t="shared" ref="S131:S194" si="23">YEAR(P131)</f>
        <v>2013</v>
      </c>
    </row>
    <row r="132" spans="1:19" ht="12.75" x14ac:dyDescent="0.2">
      <c r="A132" s="2" t="s">
        <v>24</v>
      </c>
      <c r="B132" s="2" t="str">
        <f t="shared" si="16"/>
        <v>Channel Partners</v>
      </c>
      <c r="C132" s="2" t="s">
        <v>22</v>
      </c>
      <c r="D132" s="2" t="str">
        <f>PROPER(Table1[[#This Row],[Country]])</f>
        <v>Mexico</v>
      </c>
      <c r="E132" s="3" t="s">
        <v>30</v>
      </c>
      <c r="F132" s="3" t="s">
        <v>33</v>
      </c>
      <c r="G132" s="13">
        <v>1084</v>
      </c>
      <c r="H132" s="4">
        <v>120</v>
      </c>
      <c r="I132" s="4">
        <v>12</v>
      </c>
      <c r="J132" s="4">
        <f t="shared" si="17"/>
        <v>13008</v>
      </c>
      <c r="K132" s="4">
        <v>260.16000000000003</v>
      </c>
      <c r="L132" s="4">
        <f t="shared" si="18"/>
        <v>12747.84</v>
      </c>
      <c r="M132" s="4">
        <v>3252</v>
      </c>
      <c r="N132" s="4">
        <f t="shared" si="19"/>
        <v>9495.84</v>
      </c>
      <c r="O132" s="16">
        <f t="shared" si="20"/>
        <v>0.74489795918367352</v>
      </c>
      <c r="P132" s="19">
        <v>41974</v>
      </c>
      <c r="Q132" s="5">
        <f t="shared" si="21"/>
        <v>12</v>
      </c>
      <c r="R132" s="3" t="str">
        <f t="shared" si="22"/>
        <v>December</v>
      </c>
      <c r="S132" s="6">
        <f t="shared" si="23"/>
        <v>2014</v>
      </c>
    </row>
    <row r="133" spans="1:19" ht="12.75" x14ac:dyDescent="0.2">
      <c r="A133" s="2" t="s">
        <v>25</v>
      </c>
      <c r="B133" s="2" t="str">
        <f t="shared" si="16"/>
        <v>Enterprise</v>
      </c>
      <c r="C133" s="2" t="s">
        <v>22</v>
      </c>
      <c r="D133" s="2" t="str">
        <f>PROPER(Table1[[#This Row],[Country]])</f>
        <v>Mexico</v>
      </c>
      <c r="E133" s="3" t="s">
        <v>31</v>
      </c>
      <c r="F133" s="3" t="s">
        <v>33</v>
      </c>
      <c r="G133" s="13">
        <v>662</v>
      </c>
      <c r="H133" s="4">
        <v>250</v>
      </c>
      <c r="I133" s="4">
        <v>125</v>
      </c>
      <c r="J133" s="4">
        <f t="shared" si="17"/>
        <v>82750</v>
      </c>
      <c r="K133" s="4">
        <v>1655</v>
      </c>
      <c r="L133" s="4">
        <f t="shared" si="18"/>
        <v>81095</v>
      </c>
      <c r="M133" s="4">
        <v>79440</v>
      </c>
      <c r="N133" s="4">
        <f t="shared" si="19"/>
        <v>1655</v>
      </c>
      <c r="O133" s="16">
        <f t="shared" si="20"/>
        <v>2.0408163265306121E-2</v>
      </c>
      <c r="P133" s="19">
        <v>41791</v>
      </c>
      <c r="Q133" s="5">
        <f t="shared" si="21"/>
        <v>6</v>
      </c>
      <c r="R133" s="3" t="str">
        <f t="shared" si="22"/>
        <v>June</v>
      </c>
      <c r="S133" s="6">
        <f t="shared" si="23"/>
        <v>2014</v>
      </c>
    </row>
    <row r="134" spans="1:19" ht="12.75" x14ac:dyDescent="0.2">
      <c r="A134" s="2" t="s">
        <v>29</v>
      </c>
      <c r="B134" s="2" t="str">
        <f t="shared" si="16"/>
        <v>Small Business</v>
      </c>
      <c r="C134" s="2" t="s">
        <v>19</v>
      </c>
      <c r="D134" s="2" t="str">
        <f>PROPER(Table1[[#This Row],[Country]])</f>
        <v>Germany</v>
      </c>
      <c r="E134" s="3" t="s">
        <v>31</v>
      </c>
      <c r="F134" s="3" t="s">
        <v>33</v>
      </c>
      <c r="G134" s="13">
        <v>214</v>
      </c>
      <c r="H134" s="4">
        <v>250</v>
      </c>
      <c r="I134" s="4">
        <v>300</v>
      </c>
      <c r="J134" s="4">
        <f t="shared" si="17"/>
        <v>64200</v>
      </c>
      <c r="K134" s="4">
        <v>1284</v>
      </c>
      <c r="L134" s="4">
        <f t="shared" si="18"/>
        <v>62916</v>
      </c>
      <c r="M134" s="4">
        <v>53500</v>
      </c>
      <c r="N134" s="4">
        <f t="shared" si="19"/>
        <v>9416</v>
      </c>
      <c r="O134" s="16">
        <f t="shared" si="20"/>
        <v>0.14965986394557823</v>
      </c>
      <c r="P134" s="19">
        <v>41548</v>
      </c>
      <c r="Q134" s="5">
        <f t="shared" si="21"/>
        <v>10</v>
      </c>
      <c r="R134" s="3" t="str">
        <f t="shared" si="22"/>
        <v>October</v>
      </c>
      <c r="S134" s="6">
        <f t="shared" si="23"/>
        <v>2013</v>
      </c>
    </row>
    <row r="135" spans="1:19" ht="12.75" x14ac:dyDescent="0.2">
      <c r="A135" s="2" t="s">
        <v>15</v>
      </c>
      <c r="B135" s="2" t="str">
        <f t="shared" si="16"/>
        <v>Government</v>
      </c>
      <c r="C135" s="2" t="s">
        <v>19</v>
      </c>
      <c r="D135" s="2" t="str">
        <f>PROPER(Table1[[#This Row],[Country]])</f>
        <v>Germany</v>
      </c>
      <c r="E135" s="3" t="s">
        <v>31</v>
      </c>
      <c r="F135" s="3" t="s">
        <v>33</v>
      </c>
      <c r="G135" s="13">
        <v>2877</v>
      </c>
      <c r="H135" s="4">
        <v>250</v>
      </c>
      <c r="I135" s="4">
        <v>350</v>
      </c>
      <c r="J135" s="4">
        <f t="shared" si="17"/>
        <v>1006950</v>
      </c>
      <c r="K135" s="4">
        <v>20139</v>
      </c>
      <c r="L135" s="4">
        <f t="shared" si="18"/>
        <v>986811</v>
      </c>
      <c r="M135" s="4">
        <v>748020</v>
      </c>
      <c r="N135" s="4">
        <f t="shared" si="19"/>
        <v>238791</v>
      </c>
      <c r="O135" s="16">
        <f t="shared" si="20"/>
        <v>0.24198250728862974</v>
      </c>
      <c r="P135" s="19">
        <v>41913</v>
      </c>
      <c r="Q135" s="5">
        <f t="shared" si="21"/>
        <v>10</v>
      </c>
      <c r="R135" s="3" t="str">
        <f t="shared" si="22"/>
        <v>October</v>
      </c>
      <c r="S135" s="6">
        <f t="shared" si="23"/>
        <v>2014</v>
      </c>
    </row>
    <row r="136" spans="1:19" ht="12.75" x14ac:dyDescent="0.2">
      <c r="A136" s="2" t="s">
        <v>25</v>
      </c>
      <c r="B136" s="2" t="str">
        <f t="shared" si="16"/>
        <v>Enterprise</v>
      </c>
      <c r="C136" s="2" t="s">
        <v>16</v>
      </c>
      <c r="D136" s="2" t="str">
        <f>PROPER(Table1[[#This Row],[Country]])</f>
        <v>Canada</v>
      </c>
      <c r="E136" s="3" t="s">
        <v>31</v>
      </c>
      <c r="F136" s="3" t="s">
        <v>33</v>
      </c>
      <c r="G136" s="13">
        <v>2729</v>
      </c>
      <c r="H136" s="4">
        <v>250</v>
      </c>
      <c r="I136" s="4">
        <v>125</v>
      </c>
      <c r="J136" s="4">
        <f t="shared" si="17"/>
        <v>341125</v>
      </c>
      <c r="K136" s="4">
        <v>6822.5</v>
      </c>
      <c r="L136" s="4">
        <f t="shared" si="18"/>
        <v>334302.5</v>
      </c>
      <c r="M136" s="4">
        <v>327480</v>
      </c>
      <c r="N136" s="4">
        <f t="shared" si="19"/>
        <v>6822.5</v>
      </c>
      <c r="O136" s="16">
        <f t="shared" si="20"/>
        <v>2.0408163265306121E-2</v>
      </c>
      <c r="P136" s="19">
        <v>41974</v>
      </c>
      <c r="Q136" s="5">
        <f t="shared" si="21"/>
        <v>12</v>
      </c>
      <c r="R136" s="3" t="str">
        <f t="shared" si="22"/>
        <v>December</v>
      </c>
      <c r="S136" s="6">
        <f t="shared" si="23"/>
        <v>2014</v>
      </c>
    </row>
    <row r="137" spans="1:19" ht="12.75" x14ac:dyDescent="0.2">
      <c r="A137" s="2" t="s">
        <v>15</v>
      </c>
      <c r="B137" s="2" t="str">
        <f t="shared" si="16"/>
        <v>Government</v>
      </c>
      <c r="C137" s="2" t="s">
        <v>71</v>
      </c>
      <c r="D137" s="2" t="str">
        <f>PROPER(Table1[[#This Row],[Country]])</f>
        <v>Usa</v>
      </c>
      <c r="E137" s="3" t="s">
        <v>31</v>
      </c>
      <c r="F137" s="3" t="s">
        <v>33</v>
      </c>
      <c r="G137" s="13">
        <v>266</v>
      </c>
      <c r="H137" s="4">
        <v>250</v>
      </c>
      <c r="I137" s="4">
        <v>350</v>
      </c>
      <c r="J137" s="4">
        <f t="shared" si="17"/>
        <v>93100</v>
      </c>
      <c r="K137" s="4">
        <v>1862</v>
      </c>
      <c r="L137" s="4">
        <f t="shared" si="18"/>
        <v>91238</v>
      </c>
      <c r="M137" s="4">
        <v>69160</v>
      </c>
      <c r="N137" s="4">
        <f t="shared" si="19"/>
        <v>22078</v>
      </c>
      <c r="O137" s="16">
        <f t="shared" si="20"/>
        <v>0.24198250728862974</v>
      </c>
      <c r="P137" s="19">
        <v>41609</v>
      </c>
      <c r="Q137" s="5">
        <f t="shared" si="21"/>
        <v>12</v>
      </c>
      <c r="R137" s="3" t="str">
        <f t="shared" si="22"/>
        <v>December</v>
      </c>
      <c r="S137" s="6">
        <f t="shared" si="23"/>
        <v>2013</v>
      </c>
    </row>
    <row r="138" spans="1:19" ht="12.75" x14ac:dyDescent="0.2">
      <c r="A138" s="2" t="s">
        <v>15</v>
      </c>
      <c r="B138" s="2" t="str">
        <f t="shared" si="16"/>
        <v>Government</v>
      </c>
      <c r="C138" s="2" t="s">
        <v>22</v>
      </c>
      <c r="D138" s="2" t="str">
        <f>PROPER(Table1[[#This Row],[Country]])</f>
        <v>Mexico</v>
      </c>
      <c r="E138" s="3" t="s">
        <v>31</v>
      </c>
      <c r="F138" s="3" t="s">
        <v>33</v>
      </c>
      <c r="G138" s="13">
        <v>1940</v>
      </c>
      <c r="H138" s="4">
        <v>250</v>
      </c>
      <c r="I138" s="4">
        <v>350</v>
      </c>
      <c r="J138" s="4">
        <f t="shared" si="17"/>
        <v>679000</v>
      </c>
      <c r="K138" s="4">
        <v>13580</v>
      </c>
      <c r="L138" s="4">
        <f t="shared" si="18"/>
        <v>665420</v>
      </c>
      <c r="M138" s="4">
        <v>504400</v>
      </c>
      <c r="N138" s="4">
        <f t="shared" si="19"/>
        <v>161020</v>
      </c>
      <c r="O138" s="16">
        <f t="shared" si="20"/>
        <v>0.24198250728862974</v>
      </c>
      <c r="P138" s="19">
        <v>41609</v>
      </c>
      <c r="Q138" s="5">
        <f t="shared" si="21"/>
        <v>12</v>
      </c>
      <c r="R138" s="3" t="str">
        <f t="shared" si="22"/>
        <v>December</v>
      </c>
      <c r="S138" s="6">
        <f t="shared" si="23"/>
        <v>2013</v>
      </c>
    </row>
    <row r="139" spans="1:19" ht="12.75" x14ac:dyDescent="0.2">
      <c r="A139" s="2" t="s">
        <v>29</v>
      </c>
      <c r="B139" s="2" t="str">
        <f t="shared" si="16"/>
        <v>Small Business</v>
      </c>
      <c r="C139" s="2" t="s">
        <v>19</v>
      </c>
      <c r="D139" s="2" t="str">
        <f>PROPER(Table1[[#This Row],[Country]])</f>
        <v>Germany</v>
      </c>
      <c r="E139" s="3" t="s">
        <v>32</v>
      </c>
      <c r="F139" s="3" t="s">
        <v>33</v>
      </c>
      <c r="G139" s="13">
        <v>259</v>
      </c>
      <c r="H139" s="4">
        <v>260</v>
      </c>
      <c r="I139" s="4">
        <v>300</v>
      </c>
      <c r="J139" s="4">
        <f t="shared" si="17"/>
        <v>77700</v>
      </c>
      <c r="K139" s="4">
        <v>1554</v>
      </c>
      <c r="L139" s="4">
        <f t="shared" si="18"/>
        <v>76146</v>
      </c>
      <c r="M139" s="4">
        <v>64750</v>
      </c>
      <c r="N139" s="4">
        <f t="shared" si="19"/>
        <v>11396</v>
      </c>
      <c r="O139" s="16">
        <f t="shared" si="20"/>
        <v>0.14965986394557823</v>
      </c>
      <c r="P139" s="19">
        <v>41699</v>
      </c>
      <c r="Q139" s="5">
        <f t="shared" si="21"/>
        <v>3</v>
      </c>
      <c r="R139" s="3" t="str">
        <f t="shared" si="22"/>
        <v>March</v>
      </c>
      <c r="S139" s="6">
        <f t="shared" si="23"/>
        <v>2014</v>
      </c>
    </row>
    <row r="140" spans="1:19" ht="12.75" x14ac:dyDescent="0.2">
      <c r="A140" s="2" t="s">
        <v>29</v>
      </c>
      <c r="B140" s="2" t="str">
        <f t="shared" si="16"/>
        <v>Small Business</v>
      </c>
      <c r="C140" s="2" t="s">
        <v>22</v>
      </c>
      <c r="D140" s="2" t="str">
        <f>PROPER(Table1[[#This Row],[Country]])</f>
        <v>Mexico</v>
      </c>
      <c r="E140" s="3" t="s">
        <v>32</v>
      </c>
      <c r="F140" s="3" t="s">
        <v>33</v>
      </c>
      <c r="G140" s="13">
        <v>1101</v>
      </c>
      <c r="H140" s="4">
        <v>260</v>
      </c>
      <c r="I140" s="4">
        <v>300</v>
      </c>
      <c r="J140" s="4">
        <f t="shared" si="17"/>
        <v>330300</v>
      </c>
      <c r="K140" s="4">
        <v>6606</v>
      </c>
      <c r="L140" s="4">
        <f t="shared" si="18"/>
        <v>323694</v>
      </c>
      <c r="M140" s="4">
        <v>275250</v>
      </c>
      <c r="N140" s="4">
        <f t="shared" si="19"/>
        <v>48444</v>
      </c>
      <c r="O140" s="16">
        <f t="shared" si="20"/>
        <v>0.14965986394557823</v>
      </c>
      <c r="P140" s="19">
        <v>41699</v>
      </c>
      <c r="Q140" s="5">
        <f t="shared" si="21"/>
        <v>3</v>
      </c>
      <c r="R140" s="3" t="str">
        <f t="shared" si="22"/>
        <v>March</v>
      </c>
      <c r="S140" s="6">
        <f t="shared" si="23"/>
        <v>2014</v>
      </c>
    </row>
    <row r="141" spans="1:19" ht="12.75" x14ac:dyDescent="0.2">
      <c r="A141" s="2" t="s">
        <v>25</v>
      </c>
      <c r="B141" s="2" t="str">
        <f t="shared" si="16"/>
        <v>Enterprise</v>
      </c>
      <c r="C141" s="2" t="s">
        <v>19</v>
      </c>
      <c r="D141" s="2" t="str">
        <f>PROPER(Table1[[#This Row],[Country]])</f>
        <v>Germany</v>
      </c>
      <c r="E141" s="3" t="s">
        <v>32</v>
      </c>
      <c r="F141" s="3" t="s">
        <v>33</v>
      </c>
      <c r="G141" s="13">
        <v>2276</v>
      </c>
      <c r="H141" s="4">
        <v>260</v>
      </c>
      <c r="I141" s="4">
        <v>125</v>
      </c>
      <c r="J141" s="4">
        <f t="shared" si="17"/>
        <v>284500</v>
      </c>
      <c r="K141" s="4">
        <v>5690</v>
      </c>
      <c r="L141" s="4">
        <f t="shared" si="18"/>
        <v>278810</v>
      </c>
      <c r="M141" s="4">
        <v>273120</v>
      </c>
      <c r="N141" s="4">
        <f t="shared" si="19"/>
        <v>5690</v>
      </c>
      <c r="O141" s="16">
        <f t="shared" si="20"/>
        <v>2.0408163265306121E-2</v>
      </c>
      <c r="P141" s="19">
        <v>41760</v>
      </c>
      <c r="Q141" s="5">
        <f t="shared" si="21"/>
        <v>5</v>
      </c>
      <c r="R141" s="3" t="str">
        <f t="shared" si="22"/>
        <v>May</v>
      </c>
      <c r="S141" s="6">
        <f t="shared" si="23"/>
        <v>2014</v>
      </c>
    </row>
    <row r="142" spans="1:19" ht="12.75" x14ac:dyDescent="0.2">
      <c r="A142" s="2" t="s">
        <v>15</v>
      </c>
      <c r="B142" s="2" t="str">
        <f t="shared" si="16"/>
        <v>Government</v>
      </c>
      <c r="C142" s="2" t="s">
        <v>19</v>
      </c>
      <c r="D142" s="2" t="str">
        <f>PROPER(Table1[[#This Row],[Country]])</f>
        <v>Germany</v>
      </c>
      <c r="E142" s="3" t="s">
        <v>32</v>
      </c>
      <c r="F142" s="3" t="s">
        <v>33</v>
      </c>
      <c r="G142" s="13">
        <v>2966</v>
      </c>
      <c r="H142" s="4">
        <v>260</v>
      </c>
      <c r="I142" s="4">
        <v>350</v>
      </c>
      <c r="J142" s="4">
        <f t="shared" si="17"/>
        <v>1038100</v>
      </c>
      <c r="K142" s="4">
        <v>20762</v>
      </c>
      <c r="L142" s="4">
        <f t="shared" si="18"/>
        <v>1017338</v>
      </c>
      <c r="M142" s="4">
        <v>771160</v>
      </c>
      <c r="N142" s="4">
        <f t="shared" si="19"/>
        <v>246178</v>
      </c>
      <c r="O142" s="16">
        <f t="shared" si="20"/>
        <v>0.24198250728862974</v>
      </c>
      <c r="P142" s="19">
        <v>41548</v>
      </c>
      <c r="Q142" s="5">
        <f t="shared" si="21"/>
        <v>10</v>
      </c>
      <c r="R142" s="3" t="str">
        <f t="shared" si="22"/>
        <v>October</v>
      </c>
      <c r="S142" s="6">
        <f t="shared" si="23"/>
        <v>2013</v>
      </c>
    </row>
    <row r="143" spans="1:19" ht="12.75" x14ac:dyDescent="0.2">
      <c r="A143" s="2" t="s">
        <v>15</v>
      </c>
      <c r="B143" s="2" t="str">
        <f t="shared" si="16"/>
        <v>Government</v>
      </c>
      <c r="C143" s="2" t="s">
        <v>71</v>
      </c>
      <c r="D143" s="2" t="str">
        <f>PROPER(Table1[[#This Row],[Country]])</f>
        <v>Usa</v>
      </c>
      <c r="E143" s="3" t="s">
        <v>32</v>
      </c>
      <c r="F143" s="3" t="s">
        <v>33</v>
      </c>
      <c r="G143" s="13">
        <v>1236</v>
      </c>
      <c r="H143" s="4">
        <v>260</v>
      </c>
      <c r="I143" s="4">
        <v>20</v>
      </c>
      <c r="J143" s="4">
        <f t="shared" si="17"/>
        <v>24720</v>
      </c>
      <c r="K143" s="4">
        <v>494.4</v>
      </c>
      <c r="L143" s="4">
        <f t="shared" si="18"/>
        <v>24225.599999999999</v>
      </c>
      <c r="M143" s="4">
        <v>12360</v>
      </c>
      <c r="N143" s="4">
        <f t="shared" si="19"/>
        <v>11865.599999999999</v>
      </c>
      <c r="O143" s="16">
        <f t="shared" si="20"/>
        <v>0.48979591836734693</v>
      </c>
      <c r="P143" s="19">
        <v>41944</v>
      </c>
      <c r="Q143" s="5">
        <f t="shared" si="21"/>
        <v>11</v>
      </c>
      <c r="R143" s="3" t="str">
        <f t="shared" si="22"/>
        <v>November</v>
      </c>
      <c r="S143" s="6">
        <f t="shared" si="23"/>
        <v>2014</v>
      </c>
    </row>
    <row r="144" spans="1:19" ht="12.75" x14ac:dyDescent="0.2">
      <c r="A144" s="2" t="s">
        <v>15</v>
      </c>
      <c r="B144" s="2" t="str">
        <f t="shared" si="16"/>
        <v>Government</v>
      </c>
      <c r="C144" s="2" t="s">
        <v>21</v>
      </c>
      <c r="D144" s="2" t="str">
        <f>PROPER(Table1[[#This Row],[Country]])</f>
        <v>France</v>
      </c>
      <c r="E144" s="3" t="s">
        <v>32</v>
      </c>
      <c r="F144" s="3" t="s">
        <v>33</v>
      </c>
      <c r="G144" s="13">
        <v>941</v>
      </c>
      <c r="H144" s="4">
        <v>260</v>
      </c>
      <c r="I144" s="4">
        <v>20</v>
      </c>
      <c r="J144" s="4">
        <f t="shared" si="17"/>
        <v>18820</v>
      </c>
      <c r="K144" s="4">
        <v>376.4</v>
      </c>
      <c r="L144" s="4">
        <f t="shared" si="18"/>
        <v>18443.599999999999</v>
      </c>
      <c r="M144" s="4">
        <v>9410</v>
      </c>
      <c r="N144" s="4">
        <f t="shared" si="19"/>
        <v>9033.5999999999985</v>
      </c>
      <c r="O144" s="16">
        <f t="shared" si="20"/>
        <v>0.48979591836734687</v>
      </c>
      <c r="P144" s="19">
        <v>41944</v>
      </c>
      <c r="Q144" s="5">
        <f t="shared" si="21"/>
        <v>11</v>
      </c>
      <c r="R144" s="3" t="str">
        <f t="shared" si="22"/>
        <v>November</v>
      </c>
      <c r="S144" s="6">
        <f t="shared" si="23"/>
        <v>2014</v>
      </c>
    </row>
    <row r="145" spans="1:19" ht="12.75" x14ac:dyDescent="0.2">
      <c r="A145" s="2" t="s">
        <v>29</v>
      </c>
      <c r="B145" s="2" t="str">
        <f t="shared" si="16"/>
        <v>Small Business</v>
      </c>
      <c r="C145" s="2" t="s">
        <v>16</v>
      </c>
      <c r="D145" s="2" t="str">
        <f>PROPER(Table1[[#This Row],[Country]])</f>
        <v>Canada</v>
      </c>
      <c r="E145" s="3" t="s">
        <v>32</v>
      </c>
      <c r="F145" s="3" t="s">
        <v>33</v>
      </c>
      <c r="G145" s="13">
        <v>1916</v>
      </c>
      <c r="H145" s="4">
        <v>260</v>
      </c>
      <c r="I145" s="4">
        <v>300</v>
      </c>
      <c r="J145" s="4">
        <f t="shared" si="17"/>
        <v>574800</v>
      </c>
      <c r="K145" s="4">
        <v>11496</v>
      </c>
      <c r="L145" s="4">
        <f t="shared" si="18"/>
        <v>563304</v>
      </c>
      <c r="M145" s="4">
        <v>479000</v>
      </c>
      <c r="N145" s="4">
        <f t="shared" si="19"/>
        <v>84304</v>
      </c>
      <c r="O145" s="16">
        <f t="shared" si="20"/>
        <v>0.14965986394557823</v>
      </c>
      <c r="P145" s="19">
        <v>41974</v>
      </c>
      <c r="Q145" s="5">
        <f t="shared" si="21"/>
        <v>12</v>
      </c>
      <c r="R145" s="3" t="str">
        <f t="shared" si="22"/>
        <v>December</v>
      </c>
      <c r="S145" s="6">
        <f t="shared" si="23"/>
        <v>2014</v>
      </c>
    </row>
    <row r="146" spans="1:19" ht="12.75" x14ac:dyDescent="0.2">
      <c r="A146" s="2" t="s">
        <v>25</v>
      </c>
      <c r="B146" s="2" t="str">
        <f t="shared" si="16"/>
        <v>Enterprise</v>
      </c>
      <c r="C146" s="2" t="s">
        <v>21</v>
      </c>
      <c r="D146" s="2" t="str">
        <f>PROPER(Table1[[#This Row],[Country]])</f>
        <v>France</v>
      </c>
      <c r="E146" s="3" t="s">
        <v>17</v>
      </c>
      <c r="F146" s="3" t="s">
        <v>33</v>
      </c>
      <c r="G146" s="13">
        <v>4243.5</v>
      </c>
      <c r="H146" s="4">
        <v>3</v>
      </c>
      <c r="I146" s="4">
        <v>125</v>
      </c>
      <c r="J146" s="4">
        <f t="shared" si="17"/>
        <v>530437.5</v>
      </c>
      <c r="K146" s="4">
        <v>15913.125</v>
      </c>
      <c r="L146" s="4">
        <f t="shared" si="18"/>
        <v>514524.375</v>
      </c>
      <c r="M146" s="4">
        <v>509220</v>
      </c>
      <c r="N146" s="4">
        <f t="shared" si="19"/>
        <v>5304.375</v>
      </c>
      <c r="O146" s="16">
        <f t="shared" si="20"/>
        <v>1.0309278350515464E-2</v>
      </c>
      <c r="P146" s="19">
        <v>41730</v>
      </c>
      <c r="Q146" s="5">
        <f t="shared" si="21"/>
        <v>4</v>
      </c>
      <c r="R146" s="3" t="str">
        <f t="shared" si="22"/>
        <v>April</v>
      </c>
      <c r="S146" s="6">
        <f t="shared" si="23"/>
        <v>2014</v>
      </c>
    </row>
    <row r="147" spans="1:19" ht="12.75" x14ac:dyDescent="0.2">
      <c r="A147" s="2" t="s">
        <v>15</v>
      </c>
      <c r="B147" s="2" t="str">
        <f t="shared" si="16"/>
        <v>Government</v>
      </c>
      <c r="C147" s="2" t="s">
        <v>19</v>
      </c>
      <c r="D147" s="2" t="str">
        <f>PROPER(Table1[[#This Row],[Country]])</f>
        <v>Germany</v>
      </c>
      <c r="E147" s="3" t="s">
        <v>17</v>
      </c>
      <c r="F147" s="3" t="s">
        <v>33</v>
      </c>
      <c r="G147" s="13">
        <v>2580</v>
      </c>
      <c r="H147" s="4">
        <v>3</v>
      </c>
      <c r="I147" s="4">
        <v>20</v>
      </c>
      <c r="J147" s="4">
        <f t="shared" si="17"/>
        <v>51600</v>
      </c>
      <c r="K147" s="4">
        <v>1548</v>
      </c>
      <c r="L147" s="4">
        <f t="shared" si="18"/>
        <v>50052</v>
      </c>
      <c r="M147" s="4">
        <v>25800</v>
      </c>
      <c r="N147" s="4">
        <f t="shared" si="19"/>
        <v>24252</v>
      </c>
      <c r="O147" s="16">
        <f t="shared" si="20"/>
        <v>0.4845360824742268</v>
      </c>
      <c r="P147" s="19">
        <v>41730</v>
      </c>
      <c r="Q147" s="5">
        <f t="shared" si="21"/>
        <v>4</v>
      </c>
      <c r="R147" s="3" t="str">
        <f t="shared" si="22"/>
        <v>April</v>
      </c>
      <c r="S147" s="6">
        <f t="shared" si="23"/>
        <v>2014</v>
      </c>
    </row>
    <row r="148" spans="1:19" ht="12.75" x14ac:dyDescent="0.2">
      <c r="A148" s="2" t="s">
        <v>29</v>
      </c>
      <c r="B148" s="2" t="str">
        <f t="shared" si="16"/>
        <v>Small Business</v>
      </c>
      <c r="C148" s="2" t="s">
        <v>19</v>
      </c>
      <c r="D148" s="2" t="str">
        <f>PROPER(Table1[[#This Row],[Country]])</f>
        <v>Germany</v>
      </c>
      <c r="E148" s="3" t="s">
        <v>17</v>
      </c>
      <c r="F148" s="3" t="s">
        <v>33</v>
      </c>
      <c r="G148" s="13">
        <v>689</v>
      </c>
      <c r="H148" s="4">
        <v>3</v>
      </c>
      <c r="I148" s="4">
        <v>300</v>
      </c>
      <c r="J148" s="4">
        <f t="shared" si="17"/>
        <v>206700</v>
      </c>
      <c r="K148" s="4">
        <v>6201</v>
      </c>
      <c r="L148" s="4">
        <f t="shared" si="18"/>
        <v>200499</v>
      </c>
      <c r="M148" s="4">
        <v>172250</v>
      </c>
      <c r="N148" s="4">
        <f t="shared" si="19"/>
        <v>28249</v>
      </c>
      <c r="O148" s="16">
        <f t="shared" si="20"/>
        <v>0.14089347079037801</v>
      </c>
      <c r="P148" s="19">
        <v>41791</v>
      </c>
      <c r="Q148" s="5">
        <f t="shared" si="21"/>
        <v>6</v>
      </c>
      <c r="R148" s="3" t="str">
        <f t="shared" si="22"/>
        <v>June</v>
      </c>
      <c r="S148" s="6">
        <f t="shared" si="23"/>
        <v>2014</v>
      </c>
    </row>
    <row r="149" spans="1:19" ht="12.75" x14ac:dyDescent="0.2">
      <c r="A149" s="2" t="s">
        <v>24</v>
      </c>
      <c r="B149" s="2" t="str">
        <f t="shared" si="16"/>
        <v>Channel Partners</v>
      </c>
      <c r="C149" s="2" t="s">
        <v>71</v>
      </c>
      <c r="D149" s="2" t="str">
        <f>PROPER(Table1[[#This Row],[Country]])</f>
        <v>Usa</v>
      </c>
      <c r="E149" s="3" t="s">
        <v>17</v>
      </c>
      <c r="F149" s="3" t="s">
        <v>33</v>
      </c>
      <c r="G149" s="13">
        <v>1947</v>
      </c>
      <c r="H149" s="4">
        <v>3</v>
      </c>
      <c r="I149" s="4">
        <v>12</v>
      </c>
      <c r="J149" s="4">
        <f t="shared" si="17"/>
        <v>23364</v>
      </c>
      <c r="K149" s="4">
        <v>700.92</v>
      </c>
      <c r="L149" s="4">
        <f t="shared" si="18"/>
        <v>22663.08</v>
      </c>
      <c r="M149" s="4">
        <v>5841</v>
      </c>
      <c r="N149" s="4">
        <f t="shared" si="19"/>
        <v>16822.080000000002</v>
      </c>
      <c r="O149" s="16">
        <f t="shared" si="20"/>
        <v>0.74226804123711343</v>
      </c>
      <c r="P149" s="19">
        <v>41883</v>
      </c>
      <c r="Q149" s="5">
        <f t="shared" si="21"/>
        <v>9</v>
      </c>
      <c r="R149" s="3" t="str">
        <f t="shared" si="22"/>
        <v>September</v>
      </c>
      <c r="S149" s="6">
        <f t="shared" si="23"/>
        <v>2014</v>
      </c>
    </row>
    <row r="150" spans="1:19" ht="12.75" x14ac:dyDescent="0.2">
      <c r="A150" s="2" t="s">
        <v>24</v>
      </c>
      <c r="B150" s="2" t="str">
        <f t="shared" si="16"/>
        <v>Channel Partners</v>
      </c>
      <c r="C150" s="2" t="s">
        <v>16</v>
      </c>
      <c r="D150" s="2" t="str">
        <f>PROPER(Table1[[#This Row],[Country]])</f>
        <v>Canada</v>
      </c>
      <c r="E150" s="3" t="s">
        <v>17</v>
      </c>
      <c r="F150" s="3" t="s">
        <v>33</v>
      </c>
      <c r="G150" s="13">
        <v>908</v>
      </c>
      <c r="H150" s="4">
        <v>3</v>
      </c>
      <c r="I150" s="4">
        <v>12</v>
      </c>
      <c r="J150" s="4">
        <f t="shared" si="17"/>
        <v>10896</v>
      </c>
      <c r="K150" s="4">
        <v>326.88</v>
      </c>
      <c r="L150" s="4">
        <f t="shared" si="18"/>
        <v>10569.12</v>
      </c>
      <c r="M150" s="4">
        <v>2724</v>
      </c>
      <c r="N150" s="4">
        <f t="shared" si="19"/>
        <v>7845.1200000000008</v>
      </c>
      <c r="O150" s="16">
        <f t="shared" si="20"/>
        <v>0.74226804123711343</v>
      </c>
      <c r="P150" s="19">
        <v>41609</v>
      </c>
      <c r="Q150" s="5">
        <f t="shared" si="21"/>
        <v>12</v>
      </c>
      <c r="R150" s="3" t="str">
        <f t="shared" si="22"/>
        <v>December</v>
      </c>
      <c r="S150" s="6">
        <f t="shared" si="23"/>
        <v>2013</v>
      </c>
    </row>
    <row r="151" spans="1:19" ht="12.75" x14ac:dyDescent="0.2">
      <c r="A151" s="2" t="s">
        <v>15</v>
      </c>
      <c r="B151" s="2" t="str">
        <f t="shared" si="16"/>
        <v>Government</v>
      </c>
      <c r="C151" s="2" t="s">
        <v>19</v>
      </c>
      <c r="D151" s="2" t="str">
        <f>PROPER(Table1[[#This Row],[Country]])</f>
        <v>Germany</v>
      </c>
      <c r="E151" s="3" t="s">
        <v>23</v>
      </c>
      <c r="F151" s="3" t="s">
        <v>33</v>
      </c>
      <c r="G151" s="13">
        <v>1958</v>
      </c>
      <c r="H151" s="4">
        <v>5</v>
      </c>
      <c r="I151" s="4">
        <v>7</v>
      </c>
      <c r="J151" s="4">
        <f t="shared" si="17"/>
        <v>13706</v>
      </c>
      <c r="K151" s="4">
        <v>411.18</v>
      </c>
      <c r="L151" s="4">
        <f t="shared" si="18"/>
        <v>13294.82</v>
      </c>
      <c r="M151" s="4">
        <v>9790</v>
      </c>
      <c r="N151" s="4">
        <f t="shared" si="19"/>
        <v>3504.8199999999997</v>
      </c>
      <c r="O151" s="16">
        <f t="shared" si="20"/>
        <v>0.26362297496318116</v>
      </c>
      <c r="P151" s="19">
        <v>41671</v>
      </c>
      <c r="Q151" s="5">
        <f t="shared" si="21"/>
        <v>2</v>
      </c>
      <c r="R151" s="3" t="str">
        <f t="shared" si="22"/>
        <v>February</v>
      </c>
      <c r="S151" s="6">
        <f t="shared" si="23"/>
        <v>2014</v>
      </c>
    </row>
    <row r="152" spans="1:19" ht="12.75" x14ac:dyDescent="0.2">
      <c r="A152" s="2" t="s">
        <v>24</v>
      </c>
      <c r="B152" s="2" t="str">
        <f t="shared" si="16"/>
        <v>Channel Partners</v>
      </c>
      <c r="C152" s="2" t="s">
        <v>21</v>
      </c>
      <c r="D152" s="2" t="str">
        <f>PROPER(Table1[[#This Row],[Country]])</f>
        <v>France</v>
      </c>
      <c r="E152" s="3" t="s">
        <v>23</v>
      </c>
      <c r="F152" s="3" t="s">
        <v>33</v>
      </c>
      <c r="G152" s="13">
        <v>1901</v>
      </c>
      <c r="H152" s="4">
        <v>5</v>
      </c>
      <c r="I152" s="4">
        <v>12</v>
      </c>
      <c r="J152" s="4">
        <f t="shared" si="17"/>
        <v>22812</v>
      </c>
      <c r="K152" s="4">
        <v>684.36</v>
      </c>
      <c r="L152" s="4">
        <f t="shared" si="18"/>
        <v>22127.64</v>
      </c>
      <c r="M152" s="4">
        <v>5703</v>
      </c>
      <c r="N152" s="4">
        <f t="shared" si="19"/>
        <v>16424.64</v>
      </c>
      <c r="O152" s="16">
        <f t="shared" si="20"/>
        <v>0.74226804123711343</v>
      </c>
      <c r="P152" s="19">
        <v>41791</v>
      </c>
      <c r="Q152" s="5">
        <f t="shared" si="21"/>
        <v>6</v>
      </c>
      <c r="R152" s="3" t="str">
        <f t="shared" si="22"/>
        <v>June</v>
      </c>
      <c r="S152" s="6">
        <f t="shared" si="23"/>
        <v>2014</v>
      </c>
    </row>
    <row r="153" spans="1:19" ht="12.75" x14ac:dyDescent="0.2">
      <c r="A153" s="2" t="s">
        <v>15</v>
      </c>
      <c r="B153" s="2" t="str">
        <f t="shared" si="16"/>
        <v>Government</v>
      </c>
      <c r="C153" s="2" t="s">
        <v>21</v>
      </c>
      <c r="D153" s="2" t="str">
        <f>PROPER(Table1[[#This Row],[Country]])</f>
        <v>France</v>
      </c>
      <c r="E153" s="3" t="s">
        <v>23</v>
      </c>
      <c r="F153" s="3" t="s">
        <v>33</v>
      </c>
      <c r="G153" s="13">
        <v>544</v>
      </c>
      <c r="H153" s="4">
        <v>5</v>
      </c>
      <c r="I153" s="4">
        <v>7</v>
      </c>
      <c r="J153" s="4">
        <f t="shared" si="17"/>
        <v>3808</v>
      </c>
      <c r="K153" s="4">
        <v>114.24</v>
      </c>
      <c r="L153" s="4">
        <f t="shared" si="18"/>
        <v>3693.76</v>
      </c>
      <c r="M153" s="4">
        <v>2720</v>
      </c>
      <c r="N153" s="4">
        <f t="shared" si="19"/>
        <v>973.76000000000022</v>
      </c>
      <c r="O153" s="16">
        <f t="shared" si="20"/>
        <v>0.26362297496318121</v>
      </c>
      <c r="P153" s="19">
        <v>41883</v>
      </c>
      <c r="Q153" s="5">
        <f t="shared" si="21"/>
        <v>9</v>
      </c>
      <c r="R153" s="3" t="str">
        <f t="shared" si="22"/>
        <v>September</v>
      </c>
      <c r="S153" s="6">
        <f t="shared" si="23"/>
        <v>2014</v>
      </c>
    </row>
    <row r="154" spans="1:19" ht="12.75" x14ac:dyDescent="0.2">
      <c r="A154" s="2" t="s">
        <v>15</v>
      </c>
      <c r="B154" s="2" t="str">
        <f t="shared" si="16"/>
        <v>Government</v>
      </c>
      <c r="C154" s="2" t="s">
        <v>19</v>
      </c>
      <c r="D154" s="2" t="str">
        <f>PROPER(Table1[[#This Row],[Country]])</f>
        <v>Germany</v>
      </c>
      <c r="E154" s="3" t="s">
        <v>23</v>
      </c>
      <c r="F154" s="3" t="s">
        <v>33</v>
      </c>
      <c r="G154" s="13">
        <v>1797</v>
      </c>
      <c r="H154" s="4">
        <v>5</v>
      </c>
      <c r="I154" s="4">
        <v>350</v>
      </c>
      <c r="J154" s="4">
        <f t="shared" si="17"/>
        <v>628950</v>
      </c>
      <c r="K154" s="4">
        <v>18868.5</v>
      </c>
      <c r="L154" s="4">
        <f t="shared" si="18"/>
        <v>610081.5</v>
      </c>
      <c r="M154" s="4">
        <v>467220</v>
      </c>
      <c r="N154" s="4">
        <f t="shared" si="19"/>
        <v>142861.5</v>
      </c>
      <c r="O154" s="16">
        <f t="shared" si="20"/>
        <v>0.2341678939617084</v>
      </c>
      <c r="P154" s="19">
        <v>41518</v>
      </c>
      <c r="Q154" s="5">
        <f t="shared" si="21"/>
        <v>9</v>
      </c>
      <c r="R154" s="3" t="str">
        <f t="shared" si="22"/>
        <v>September</v>
      </c>
      <c r="S154" s="6">
        <f t="shared" si="23"/>
        <v>2013</v>
      </c>
    </row>
    <row r="155" spans="1:19" ht="12.75" x14ac:dyDescent="0.2">
      <c r="A155" s="2" t="s">
        <v>25</v>
      </c>
      <c r="B155" s="2" t="str">
        <f t="shared" si="16"/>
        <v>Enterprise</v>
      </c>
      <c r="C155" s="2" t="s">
        <v>21</v>
      </c>
      <c r="D155" s="2" t="str">
        <f>PROPER(Table1[[#This Row],[Country]])</f>
        <v>France</v>
      </c>
      <c r="E155" s="3" t="s">
        <v>23</v>
      </c>
      <c r="F155" s="3" t="s">
        <v>33</v>
      </c>
      <c r="G155" s="13">
        <v>1287</v>
      </c>
      <c r="H155" s="4">
        <v>5</v>
      </c>
      <c r="I155" s="4">
        <v>125</v>
      </c>
      <c r="J155" s="4">
        <f t="shared" si="17"/>
        <v>160875</v>
      </c>
      <c r="K155" s="4">
        <v>4826.25</v>
      </c>
      <c r="L155" s="4">
        <f t="shared" si="18"/>
        <v>156048.75</v>
      </c>
      <c r="M155" s="4">
        <v>154440</v>
      </c>
      <c r="N155" s="4">
        <f t="shared" si="19"/>
        <v>1608.75</v>
      </c>
      <c r="O155" s="16">
        <f t="shared" si="20"/>
        <v>1.0309278350515464E-2</v>
      </c>
      <c r="P155" s="19">
        <v>41974</v>
      </c>
      <c r="Q155" s="5">
        <f t="shared" si="21"/>
        <v>12</v>
      </c>
      <c r="R155" s="3" t="str">
        <f t="shared" si="22"/>
        <v>December</v>
      </c>
      <c r="S155" s="6">
        <f t="shared" si="23"/>
        <v>2014</v>
      </c>
    </row>
    <row r="156" spans="1:19" ht="12.75" x14ac:dyDescent="0.2">
      <c r="A156" s="2" t="s">
        <v>25</v>
      </c>
      <c r="B156" s="2" t="str">
        <f t="shared" si="16"/>
        <v>Enterprise</v>
      </c>
      <c r="C156" s="2" t="s">
        <v>19</v>
      </c>
      <c r="D156" s="2" t="str">
        <f>PROPER(Table1[[#This Row],[Country]])</f>
        <v>Germany</v>
      </c>
      <c r="E156" s="3" t="s">
        <v>23</v>
      </c>
      <c r="F156" s="3" t="s">
        <v>33</v>
      </c>
      <c r="G156" s="13">
        <v>1706</v>
      </c>
      <c r="H156" s="4">
        <v>5</v>
      </c>
      <c r="I156" s="4">
        <v>125</v>
      </c>
      <c r="J156" s="4">
        <f t="shared" si="17"/>
        <v>213250</v>
      </c>
      <c r="K156" s="4">
        <v>6397.5</v>
      </c>
      <c r="L156" s="4">
        <f t="shared" si="18"/>
        <v>206852.5</v>
      </c>
      <c r="M156" s="4">
        <v>204720</v>
      </c>
      <c r="N156" s="4">
        <f t="shared" si="19"/>
        <v>2132.5</v>
      </c>
      <c r="O156" s="16">
        <f t="shared" si="20"/>
        <v>1.0309278350515464E-2</v>
      </c>
      <c r="P156" s="19">
        <v>41974</v>
      </c>
      <c r="Q156" s="5">
        <f t="shared" si="21"/>
        <v>12</v>
      </c>
      <c r="R156" s="3" t="str">
        <f t="shared" si="22"/>
        <v>December</v>
      </c>
      <c r="S156" s="6">
        <f t="shared" si="23"/>
        <v>2014</v>
      </c>
    </row>
    <row r="157" spans="1:19" ht="12.75" x14ac:dyDescent="0.2">
      <c r="A157" s="2" t="s">
        <v>29</v>
      </c>
      <c r="B157" s="2" t="str">
        <f t="shared" si="16"/>
        <v>Small Business</v>
      </c>
      <c r="C157" s="2" t="s">
        <v>21</v>
      </c>
      <c r="D157" s="2" t="str">
        <f>PROPER(Table1[[#This Row],[Country]])</f>
        <v>France</v>
      </c>
      <c r="E157" s="3" t="s">
        <v>28</v>
      </c>
      <c r="F157" s="3" t="s">
        <v>33</v>
      </c>
      <c r="G157" s="13">
        <v>2434.5</v>
      </c>
      <c r="H157" s="4">
        <v>10</v>
      </c>
      <c r="I157" s="4">
        <v>300</v>
      </c>
      <c r="J157" s="4">
        <f t="shared" si="17"/>
        <v>730350</v>
      </c>
      <c r="K157" s="4">
        <v>21910.5</v>
      </c>
      <c r="L157" s="4">
        <f t="shared" si="18"/>
        <v>708439.5</v>
      </c>
      <c r="M157" s="4">
        <v>608625</v>
      </c>
      <c r="N157" s="4">
        <f t="shared" si="19"/>
        <v>99814.5</v>
      </c>
      <c r="O157" s="16">
        <f t="shared" si="20"/>
        <v>0.14089347079037801</v>
      </c>
      <c r="P157" s="19">
        <v>41640</v>
      </c>
      <c r="Q157" s="5">
        <f t="shared" si="21"/>
        <v>1</v>
      </c>
      <c r="R157" s="3" t="str">
        <f t="shared" si="22"/>
        <v>January</v>
      </c>
      <c r="S157" s="6">
        <f t="shared" si="23"/>
        <v>2014</v>
      </c>
    </row>
    <row r="158" spans="1:19" ht="12.75" x14ac:dyDescent="0.2">
      <c r="A158" s="2" t="s">
        <v>25</v>
      </c>
      <c r="B158" s="2" t="str">
        <f t="shared" si="16"/>
        <v>Enterprise</v>
      </c>
      <c r="C158" s="2" t="s">
        <v>16</v>
      </c>
      <c r="D158" s="2" t="str">
        <f>PROPER(Table1[[#This Row],[Country]])</f>
        <v>Canada</v>
      </c>
      <c r="E158" s="3" t="s">
        <v>28</v>
      </c>
      <c r="F158" s="3" t="s">
        <v>33</v>
      </c>
      <c r="G158" s="13">
        <v>1774</v>
      </c>
      <c r="H158" s="4">
        <v>10</v>
      </c>
      <c r="I158" s="4">
        <v>125</v>
      </c>
      <c r="J158" s="4">
        <f t="shared" si="17"/>
        <v>221750</v>
      </c>
      <c r="K158" s="4">
        <v>6652.5</v>
      </c>
      <c r="L158" s="4">
        <f t="shared" si="18"/>
        <v>215097.5</v>
      </c>
      <c r="M158" s="4">
        <v>212880</v>
      </c>
      <c r="N158" s="4">
        <f t="shared" si="19"/>
        <v>2217.5</v>
      </c>
      <c r="O158" s="16">
        <f t="shared" si="20"/>
        <v>1.0309278350515464E-2</v>
      </c>
      <c r="P158" s="19">
        <v>41699</v>
      </c>
      <c r="Q158" s="5">
        <f t="shared" si="21"/>
        <v>3</v>
      </c>
      <c r="R158" s="3" t="str">
        <f t="shared" si="22"/>
        <v>March</v>
      </c>
      <c r="S158" s="6">
        <f t="shared" si="23"/>
        <v>2014</v>
      </c>
    </row>
    <row r="159" spans="1:19" ht="12.75" x14ac:dyDescent="0.2">
      <c r="A159" s="2" t="s">
        <v>24</v>
      </c>
      <c r="B159" s="2" t="str">
        <f t="shared" si="16"/>
        <v>Channel Partners</v>
      </c>
      <c r="C159" s="2" t="s">
        <v>21</v>
      </c>
      <c r="D159" s="2" t="str">
        <f>PROPER(Table1[[#This Row],[Country]])</f>
        <v>France</v>
      </c>
      <c r="E159" s="3" t="s">
        <v>28</v>
      </c>
      <c r="F159" s="3" t="s">
        <v>33</v>
      </c>
      <c r="G159" s="13">
        <v>1901</v>
      </c>
      <c r="H159" s="4">
        <v>10</v>
      </c>
      <c r="I159" s="4">
        <v>12</v>
      </c>
      <c r="J159" s="4">
        <f t="shared" si="17"/>
        <v>22812</v>
      </c>
      <c r="K159" s="4">
        <v>684.36</v>
      </c>
      <c r="L159" s="4">
        <f t="shared" si="18"/>
        <v>22127.64</v>
      </c>
      <c r="M159" s="4">
        <v>5703</v>
      </c>
      <c r="N159" s="4">
        <f t="shared" si="19"/>
        <v>16424.64</v>
      </c>
      <c r="O159" s="16">
        <f t="shared" si="20"/>
        <v>0.74226804123711343</v>
      </c>
      <c r="P159" s="19">
        <v>41791</v>
      </c>
      <c r="Q159" s="5">
        <f t="shared" si="21"/>
        <v>6</v>
      </c>
      <c r="R159" s="3" t="str">
        <f t="shared" si="22"/>
        <v>June</v>
      </c>
      <c r="S159" s="6">
        <f t="shared" si="23"/>
        <v>2014</v>
      </c>
    </row>
    <row r="160" spans="1:19" ht="12.75" x14ac:dyDescent="0.2">
      <c r="A160" s="2" t="s">
        <v>29</v>
      </c>
      <c r="B160" s="2" t="str">
        <f t="shared" si="16"/>
        <v>Small Business</v>
      </c>
      <c r="C160" s="2" t="s">
        <v>19</v>
      </c>
      <c r="D160" s="2" t="str">
        <f>PROPER(Table1[[#This Row],[Country]])</f>
        <v>Germany</v>
      </c>
      <c r="E160" s="3" t="s">
        <v>28</v>
      </c>
      <c r="F160" s="3" t="s">
        <v>33</v>
      </c>
      <c r="G160" s="13">
        <v>689</v>
      </c>
      <c r="H160" s="4">
        <v>10</v>
      </c>
      <c r="I160" s="4">
        <v>300</v>
      </c>
      <c r="J160" s="4">
        <f t="shared" si="17"/>
        <v>206700</v>
      </c>
      <c r="K160" s="4">
        <v>6201</v>
      </c>
      <c r="L160" s="4">
        <f t="shared" si="18"/>
        <v>200499</v>
      </c>
      <c r="M160" s="4">
        <v>172250</v>
      </c>
      <c r="N160" s="4">
        <f t="shared" si="19"/>
        <v>28249</v>
      </c>
      <c r="O160" s="16">
        <f t="shared" si="20"/>
        <v>0.14089347079037801</v>
      </c>
      <c r="P160" s="19">
        <v>41791</v>
      </c>
      <c r="Q160" s="5">
        <f t="shared" si="21"/>
        <v>6</v>
      </c>
      <c r="R160" s="3" t="str">
        <f t="shared" si="22"/>
        <v>June</v>
      </c>
      <c r="S160" s="6">
        <f t="shared" si="23"/>
        <v>2014</v>
      </c>
    </row>
    <row r="161" spans="1:19" ht="12.75" x14ac:dyDescent="0.2">
      <c r="A161" s="2" t="s">
        <v>25</v>
      </c>
      <c r="B161" s="2" t="str">
        <f t="shared" si="16"/>
        <v>Enterprise</v>
      </c>
      <c r="C161" s="2" t="s">
        <v>19</v>
      </c>
      <c r="D161" s="2" t="str">
        <f>PROPER(Table1[[#This Row],[Country]])</f>
        <v>Germany</v>
      </c>
      <c r="E161" s="3" t="s">
        <v>28</v>
      </c>
      <c r="F161" s="3" t="s">
        <v>33</v>
      </c>
      <c r="G161" s="13">
        <v>1570</v>
      </c>
      <c r="H161" s="4">
        <v>10</v>
      </c>
      <c r="I161" s="4">
        <v>125</v>
      </c>
      <c r="J161" s="4">
        <f t="shared" si="17"/>
        <v>196250</v>
      </c>
      <c r="K161" s="4">
        <v>5887.5</v>
      </c>
      <c r="L161" s="4">
        <f t="shared" si="18"/>
        <v>190362.5</v>
      </c>
      <c r="M161" s="4">
        <v>188400</v>
      </c>
      <c r="N161" s="4">
        <f t="shared" si="19"/>
        <v>1962.5</v>
      </c>
      <c r="O161" s="16">
        <f t="shared" si="20"/>
        <v>1.0309278350515464E-2</v>
      </c>
      <c r="P161" s="19">
        <v>41791</v>
      </c>
      <c r="Q161" s="5">
        <f t="shared" si="21"/>
        <v>6</v>
      </c>
      <c r="R161" s="3" t="str">
        <f t="shared" si="22"/>
        <v>June</v>
      </c>
      <c r="S161" s="6">
        <f t="shared" si="23"/>
        <v>2014</v>
      </c>
    </row>
    <row r="162" spans="1:19" ht="12.75" x14ac:dyDescent="0.2">
      <c r="A162" s="2" t="s">
        <v>24</v>
      </c>
      <c r="B162" s="2" t="str">
        <f t="shared" si="16"/>
        <v>Channel Partners</v>
      </c>
      <c r="C162" s="2" t="s">
        <v>71</v>
      </c>
      <c r="D162" s="2" t="str">
        <f>PROPER(Table1[[#This Row],[Country]])</f>
        <v>Usa</v>
      </c>
      <c r="E162" s="3" t="s">
        <v>28</v>
      </c>
      <c r="F162" s="3" t="s">
        <v>33</v>
      </c>
      <c r="G162" s="13">
        <v>1369.5</v>
      </c>
      <c r="H162" s="4">
        <v>10</v>
      </c>
      <c r="I162" s="4">
        <v>12</v>
      </c>
      <c r="J162" s="4">
        <f t="shared" si="17"/>
        <v>16434</v>
      </c>
      <c r="K162" s="4">
        <v>493.02</v>
      </c>
      <c r="L162" s="4">
        <f t="shared" si="18"/>
        <v>15940.98</v>
      </c>
      <c r="M162" s="4">
        <v>4108.5</v>
      </c>
      <c r="N162" s="4">
        <f t="shared" si="19"/>
        <v>11832.48</v>
      </c>
      <c r="O162" s="16">
        <f t="shared" si="20"/>
        <v>0.74226804123711343</v>
      </c>
      <c r="P162" s="19">
        <v>41821</v>
      </c>
      <c r="Q162" s="5">
        <f t="shared" si="21"/>
        <v>7</v>
      </c>
      <c r="R162" s="3" t="str">
        <f t="shared" si="22"/>
        <v>July</v>
      </c>
      <c r="S162" s="6">
        <f t="shared" si="23"/>
        <v>2014</v>
      </c>
    </row>
    <row r="163" spans="1:19" ht="12.75" x14ac:dyDescent="0.2">
      <c r="A163" s="2" t="s">
        <v>25</v>
      </c>
      <c r="B163" s="2" t="str">
        <f t="shared" si="16"/>
        <v>Enterprise</v>
      </c>
      <c r="C163" s="2" t="s">
        <v>16</v>
      </c>
      <c r="D163" s="2" t="str">
        <f>PROPER(Table1[[#This Row],[Country]])</f>
        <v>Canada</v>
      </c>
      <c r="E163" s="3" t="s">
        <v>28</v>
      </c>
      <c r="F163" s="3" t="s">
        <v>33</v>
      </c>
      <c r="G163" s="13">
        <v>2009</v>
      </c>
      <c r="H163" s="4">
        <v>10</v>
      </c>
      <c r="I163" s="4">
        <v>125</v>
      </c>
      <c r="J163" s="4">
        <f t="shared" si="17"/>
        <v>251125</v>
      </c>
      <c r="K163" s="4">
        <v>7533.75</v>
      </c>
      <c r="L163" s="4">
        <f t="shared" si="18"/>
        <v>243591.25</v>
      </c>
      <c r="M163" s="4">
        <v>241080</v>
      </c>
      <c r="N163" s="4">
        <f t="shared" si="19"/>
        <v>2511.25</v>
      </c>
      <c r="O163" s="16">
        <f t="shared" si="20"/>
        <v>1.0309278350515464E-2</v>
      </c>
      <c r="P163" s="19">
        <v>41913</v>
      </c>
      <c r="Q163" s="5">
        <f t="shared" si="21"/>
        <v>10</v>
      </c>
      <c r="R163" s="3" t="str">
        <f t="shared" si="22"/>
        <v>October</v>
      </c>
      <c r="S163" s="6">
        <f t="shared" si="23"/>
        <v>2014</v>
      </c>
    </row>
    <row r="164" spans="1:19" ht="12.75" x14ac:dyDescent="0.2">
      <c r="A164" s="2" t="s">
        <v>20</v>
      </c>
      <c r="B164" s="2" t="str">
        <f t="shared" si="16"/>
        <v>Midmarket</v>
      </c>
      <c r="C164" s="2" t="s">
        <v>19</v>
      </c>
      <c r="D164" s="2" t="str">
        <f>PROPER(Table1[[#This Row],[Country]])</f>
        <v>Germany</v>
      </c>
      <c r="E164" s="3" t="s">
        <v>28</v>
      </c>
      <c r="F164" s="3" t="s">
        <v>33</v>
      </c>
      <c r="G164" s="13">
        <v>1945</v>
      </c>
      <c r="H164" s="4">
        <v>10</v>
      </c>
      <c r="I164" s="4">
        <v>15</v>
      </c>
      <c r="J164" s="4">
        <f t="shared" si="17"/>
        <v>29175</v>
      </c>
      <c r="K164" s="4">
        <v>875.25</v>
      </c>
      <c r="L164" s="4">
        <f t="shared" si="18"/>
        <v>28299.75</v>
      </c>
      <c r="M164" s="4">
        <v>19450</v>
      </c>
      <c r="N164" s="4">
        <f t="shared" si="19"/>
        <v>8849.75</v>
      </c>
      <c r="O164" s="16">
        <f t="shared" si="20"/>
        <v>0.3127147766323024</v>
      </c>
      <c r="P164" s="19">
        <v>41548</v>
      </c>
      <c r="Q164" s="5">
        <f t="shared" si="21"/>
        <v>10</v>
      </c>
      <c r="R164" s="3" t="str">
        <f t="shared" si="22"/>
        <v>October</v>
      </c>
      <c r="S164" s="6">
        <f t="shared" si="23"/>
        <v>2013</v>
      </c>
    </row>
    <row r="165" spans="1:19" ht="12.75" x14ac:dyDescent="0.2">
      <c r="A165" s="2" t="s">
        <v>25</v>
      </c>
      <c r="B165" s="2" t="str">
        <f t="shared" si="16"/>
        <v>Enterprise</v>
      </c>
      <c r="C165" s="2" t="s">
        <v>21</v>
      </c>
      <c r="D165" s="2" t="str">
        <f>PROPER(Table1[[#This Row],[Country]])</f>
        <v>France</v>
      </c>
      <c r="E165" s="3" t="s">
        <v>28</v>
      </c>
      <c r="F165" s="3" t="s">
        <v>33</v>
      </c>
      <c r="G165" s="13">
        <v>1287</v>
      </c>
      <c r="H165" s="4">
        <v>10</v>
      </c>
      <c r="I165" s="4">
        <v>125</v>
      </c>
      <c r="J165" s="4">
        <f t="shared" si="17"/>
        <v>160875</v>
      </c>
      <c r="K165" s="4">
        <v>4826.25</v>
      </c>
      <c r="L165" s="4">
        <f t="shared" si="18"/>
        <v>156048.75</v>
      </c>
      <c r="M165" s="4">
        <v>154440</v>
      </c>
      <c r="N165" s="4">
        <f t="shared" si="19"/>
        <v>1608.75</v>
      </c>
      <c r="O165" s="16">
        <f t="shared" si="20"/>
        <v>1.0309278350515464E-2</v>
      </c>
      <c r="P165" s="19">
        <v>41974</v>
      </c>
      <c r="Q165" s="5">
        <f t="shared" si="21"/>
        <v>12</v>
      </c>
      <c r="R165" s="3" t="str">
        <f t="shared" si="22"/>
        <v>December</v>
      </c>
      <c r="S165" s="6">
        <f t="shared" si="23"/>
        <v>2014</v>
      </c>
    </row>
    <row r="166" spans="1:19" ht="12.75" x14ac:dyDescent="0.2">
      <c r="A166" s="2" t="s">
        <v>25</v>
      </c>
      <c r="B166" s="2" t="str">
        <f t="shared" si="16"/>
        <v>Enterprise</v>
      </c>
      <c r="C166" s="2" t="s">
        <v>19</v>
      </c>
      <c r="D166" s="2" t="str">
        <f>PROPER(Table1[[#This Row],[Country]])</f>
        <v>Germany</v>
      </c>
      <c r="E166" s="3" t="s">
        <v>28</v>
      </c>
      <c r="F166" s="3" t="s">
        <v>33</v>
      </c>
      <c r="G166" s="13">
        <v>1706</v>
      </c>
      <c r="H166" s="4">
        <v>10</v>
      </c>
      <c r="I166" s="4">
        <v>125</v>
      </c>
      <c r="J166" s="4">
        <f t="shared" si="17"/>
        <v>213250</v>
      </c>
      <c r="K166" s="4">
        <v>6397.5</v>
      </c>
      <c r="L166" s="4">
        <f t="shared" si="18"/>
        <v>206852.5</v>
      </c>
      <c r="M166" s="4">
        <v>204720</v>
      </c>
      <c r="N166" s="4">
        <f t="shared" si="19"/>
        <v>2132.5</v>
      </c>
      <c r="O166" s="16">
        <f t="shared" si="20"/>
        <v>1.0309278350515464E-2</v>
      </c>
      <c r="P166" s="19">
        <v>41974</v>
      </c>
      <c r="Q166" s="5">
        <f t="shared" si="21"/>
        <v>12</v>
      </c>
      <c r="R166" s="3" t="str">
        <f t="shared" si="22"/>
        <v>December</v>
      </c>
      <c r="S166" s="6">
        <f t="shared" si="23"/>
        <v>2014</v>
      </c>
    </row>
    <row r="167" spans="1:19" ht="12.75" x14ac:dyDescent="0.2">
      <c r="A167" s="2" t="s">
        <v>25</v>
      </c>
      <c r="B167" s="2" t="str">
        <f t="shared" si="16"/>
        <v>Enterprise</v>
      </c>
      <c r="C167" s="2" t="s">
        <v>16</v>
      </c>
      <c r="D167" s="2" t="str">
        <f>PROPER(Table1[[#This Row],[Country]])</f>
        <v>Canada</v>
      </c>
      <c r="E167" s="3" t="s">
        <v>30</v>
      </c>
      <c r="F167" s="3" t="s">
        <v>33</v>
      </c>
      <c r="G167" s="13">
        <v>2009</v>
      </c>
      <c r="H167" s="4">
        <v>120</v>
      </c>
      <c r="I167" s="4">
        <v>125</v>
      </c>
      <c r="J167" s="4">
        <f t="shared" si="17"/>
        <v>251125</v>
      </c>
      <c r="K167" s="4">
        <v>7533.75</v>
      </c>
      <c r="L167" s="4">
        <f t="shared" si="18"/>
        <v>243591.25</v>
      </c>
      <c r="M167" s="4">
        <v>241080</v>
      </c>
      <c r="N167" s="4">
        <f t="shared" si="19"/>
        <v>2511.25</v>
      </c>
      <c r="O167" s="16">
        <f t="shared" si="20"/>
        <v>1.0309278350515464E-2</v>
      </c>
      <c r="P167" s="19">
        <v>41913</v>
      </c>
      <c r="Q167" s="5">
        <f t="shared" si="21"/>
        <v>10</v>
      </c>
      <c r="R167" s="3" t="str">
        <f t="shared" si="22"/>
        <v>October</v>
      </c>
      <c r="S167" s="6">
        <f t="shared" si="23"/>
        <v>2014</v>
      </c>
    </row>
    <row r="168" spans="1:19" ht="12.75" x14ac:dyDescent="0.2">
      <c r="A168" s="2" t="s">
        <v>29</v>
      </c>
      <c r="B168" s="2" t="str">
        <f t="shared" si="16"/>
        <v>Small Business</v>
      </c>
      <c r="C168" s="2" t="s">
        <v>71</v>
      </c>
      <c r="D168" s="2" t="str">
        <f>PROPER(Table1[[#This Row],[Country]])</f>
        <v>Usa</v>
      </c>
      <c r="E168" s="3" t="s">
        <v>31</v>
      </c>
      <c r="F168" s="3" t="s">
        <v>33</v>
      </c>
      <c r="G168" s="13">
        <v>2844</v>
      </c>
      <c r="H168" s="4">
        <v>250</v>
      </c>
      <c r="I168" s="4">
        <v>300</v>
      </c>
      <c r="J168" s="4">
        <f t="shared" si="17"/>
        <v>853200</v>
      </c>
      <c r="K168" s="4">
        <v>25596</v>
      </c>
      <c r="L168" s="4">
        <f t="shared" si="18"/>
        <v>827604</v>
      </c>
      <c r="M168" s="4">
        <v>711000</v>
      </c>
      <c r="N168" s="4">
        <f t="shared" si="19"/>
        <v>116604</v>
      </c>
      <c r="O168" s="16">
        <f t="shared" si="20"/>
        <v>0.14089347079037801</v>
      </c>
      <c r="P168" s="19">
        <v>41671</v>
      </c>
      <c r="Q168" s="5">
        <f t="shared" si="21"/>
        <v>2</v>
      </c>
      <c r="R168" s="3" t="str">
        <f t="shared" si="22"/>
        <v>February</v>
      </c>
      <c r="S168" s="6">
        <f t="shared" si="23"/>
        <v>2014</v>
      </c>
    </row>
    <row r="169" spans="1:19" ht="12.75" x14ac:dyDescent="0.2">
      <c r="A169" s="2" t="s">
        <v>24</v>
      </c>
      <c r="B169" s="2" t="str">
        <f t="shared" si="16"/>
        <v>Channel Partners</v>
      </c>
      <c r="C169" s="2" t="s">
        <v>22</v>
      </c>
      <c r="D169" s="2" t="str">
        <f>PROPER(Table1[[#This Row],[Country]])</f>
        <v>Mexico</v>
      </c>
      <c r="E169" s="3" t="s">
        <v>31</v>
      </c>
      <c r="F169" s="3" t="s">
        <v>33</v>
      </c>
      <c r="G169" s="13">
        <v>1916</v>
      </c>
      <c r="H169" s="4">
        <v>250</v>
      </c>
      <c r="I169" s="4">
        <v>12</v>
      </c>
      <c r="J169" s="4">
        <f t="shared" si="17"/>
        <v>22992</v>
      </c>
      <c r="K169" s="4">
        <v>689.76</v>
      </c>
      <c r="L169" s="4">
        <f t="shared" si="18"/>
        <v>22302.240000000002</v>
      </c>
      <c r="M169" s="4">
        <v>5748</v>
      </c>
      <c r="N169" s="4">
        <f t="shared" si="19"/>
        <v>16554.240000000002</v>
      </c>
      <c r="O169" s="16">
        <f t="shared" si="20"/>
        <v>0.74226804123711343</v>
      </c>
      <c r="P169" s="19">
        <v>41730</v>
      </c>
      <c r="Q169" s="5">
        <f t="shared" si="21"/>
        <v>4</v>
      </c>
      <c r="R169" s="3" t="str">
        <f t="shared" si="22"/>
        <v>April</v>
      </c>
      <c r="S169" s="6">
        <f t="shared" si="23"/>
        <v>2014</v>
      </c>
    </row>
    <row r="170" spans="1:19" ht="12.75" x14ac:dyDescent="0.2">
      <c r="A170" s="2" t="s">
        <v>25</v>
      </c>
      <c r="B170" s="2" t="str">
        <f t="shared" si="16"/>
        <v>Enterprise</v>
      </c>
      <c r="C170" s="2" t="s">
        <v>19</v>
      </c>
      <c r="D170" s="2" t="str">
        <f>PROPER(Table1[[#This Row],[Country]])</f>
        <v>Germany</v>
      </c>
      <c r="E170" s="3" t="s">
        <v>31</v>
      </c>
      <c r="F170" s="3" t="s">
        <v>33</v>
      </c>
      <c r="G170" s="13">
        <v>1570</v>
      </c>
      <c r="H170" s="4">
        <v>250</v>
      </c>
      <c r="I170" s="4">
        <v>125</v>
      </c>
      <c r="J170" s="4">
        <f t="shared" si="17"/>
        <v>196250</v>
      </c>
      <c r="K170" s="4">
        <v>5887.5</v>
      </c>
      <c r="L170" s="4">
        <f t="shared" si="18"/>
        <v>190362.5</v>
      </c>
      <c r="M170" s="4">
        <v>188400</v>
      </c>
      <c r="N170" s="4">
        <f t="shared" si="19"/>
        <v>1962.5</v>
      </c>
      <c r="O170" s="16">
        <f t="shared" si="20"/>
        <v>1.0309278350515464E-2</v>
      </c>
      <c r="P170" s="19">
        <v>41791</v>
      </c>
      <c r="Q170" s="5">
        <f t="shared" si="21"/>
        <v>6</v>
      </c>
      <c r="R170" s="3" t="str">
        <f t="shared" si="22"/>
        <v>June</v>
      </c>
      <c r="S170" s="6">
        <f t="shared" si="23"/>
        <v>2014</v>
      </c>
    </row>
    <row r="171" spans="1:19" ht="12.75" x14ac:dyDescent="0.2">
      <c r="A171" s="2" t="s">
        <v>29</v>
      </c>
      <c r="B171" s="2" t="str">
        <f t="shared" si="16"/>
        <v>Small Business</v>
      </c>
      <c r="C171" s="2" t="s">
        <v>16</v>
      </c>
      <c r="D171" s="2" t="str">
        <f>PROPER(Table1[[#This Row],[Country]])</f>
        <v>Canada</v>
      </c>
      <c r="E171" s="3" t="s">
        <v>31</v>
      </c>
      <c r="F171" s="3" t="s">
        <v>33</v>
      </c>
      <c r="G171" s="13">
        <v>1874</v>
      </c>
      <c r="H171" s="4">
        <v>250</v>
      </c>
      <c r="I171" s="4">
        <v>300</v>
      </c>
      <c r="J171" s="4">
        <f t="shared" si="17"/>
        <v>562200</v>
      </c>
      <c r="K171" s="4">
        <v>16866</v>
      </c>
      <c r="L171" s="4">
        <f t="shared" si="18"/>
        <v>545334</v>
      </c>
      <c r="M171" s="4">
        <v>468500</v>
      </c>
      <c r="N171" s="4">
        <f t="shared" si="19"/>
        <v>76834</v>
      </c>
      <c r="O171" s="16">
        <f t="shared" si="20"/>
        <v>0.14089347079037801</v>
      </c>
      <c r="P171" s="19">
        <v>41852</v>
      </c>
      <c r="Q171" s="5">
        <f t="shared" si="21"/>
        <v>8</v>
      </c>
      <c r="R171" s="3" t="str">
        <f t="shared" si="22"/>
        <v>August</v>
      </c>
      <c r="S171" s="6">
        <f t="shared" si="23"/>
        <v>2014</v>
      </c>
    </row>
    <row r="172" spans="1:19" ht="12.75" x14ac:dyDescent="0.2">
      <c r="A172" s="2" t="s">
        <v>15</v>
      </c>
      <c r="B172" s="2" t="str">
        <f t="shared" si="16"/>
        <v>Government</v>
      </c>
      <c r="C172" s="2" t="s">
        <v>22</v>
      </c>
      <c r="D172" s="2" t="str">
        <f>PROPER(Table1[[#This Row],[Country]])</f>
        <v>Mexico</v>
      </c>
      <c r="E172" s="3" t="s">
        <v>31</v>
      </c>
      <c r="F172" s="3" t="s">
        <v>33</v>
      </c>
      <c r="G172" s="13">
        <v>1642</v>
      </c>
      <c r="H172" s="4">
        <v>250</v>
      </c>
      <c r="I172" s="4">
        <v>350</v>
      </c>
      <c r="J172" s="4">
        <f t="shared" si="17"/>
        <v>574700</v>
      </c>
      <c r="K172" s="4">
        <v>17241</v>
      </c>
      <c r="L172" s="4">
        <f t="shared" si="18"/>
        <v>557459</v>
      </c>
      <c r="M172" s="4">
        <v>426920</v>
      </c>
      <c r="N172" s="4">
        <f t="shared" si="19"/>
        <v>130539</v>
      </c>
      <c r="O172" s="16">
        <f t="shared" si="20"/>
        <v>0.2341678939617084</v>
      </c>
      <c r="P172" s="19">
        <v>41852</v>
      </c>
      <c r="Q172" s="5">
        <f t="shared" si="21"/>
        <v>8</v>
      </c>
      <c r="R172" s="3" t="str">
        <f t="shared" si="22"/>
        <v>August</v>
      </c>
      <c r="S172" s="6">
        <f t="shared" si="23"/>
        <v>2014</v>
      </c>
    </row>
    <row r="173" spans="1:19" ht="12.75" x14ac:dyDescent="0.2">
      <c r="A173" s="2" t="s">
        <v>20</v>
      </c>
      <c r="B173" s="2" t="str">
        <f t="shared" si="16"/>
        <v>Midmarket</v>
      </c>
      <c r="C173" s="2" t="s">
        <v>19</v>
      </c>
      <c r="D173" s="2" t="str">
        <f>PROPER(Table1[[#This Row],[Country]])</f>
        <v>Germany</v>
      </c>
      <c r="E173" s="3" t="s">
        <v>31</v>
      </c>
      <c r="F173" s="3" t="s">
        <v>33</v>
      </c>
      <c r="G173" s="13">
        <v>1945</v>
      </c>
      <c r="H173" s="4">
        <v>250</v>
      </c>
      <c r="I173" s="4">
        <v>15</v>
      </c>
      <c r="J173" s="4">
        <f t="shared" si="17"/>
        <v>29175</v>
      </c>
      <c r="K173" s="4">
        <v>875.25</v>
      </c>
      <c r="L173" s="4">
        <f t="shared" si="18"/>
        <v>28299.75</v>
      </c>
      <c r="M173" s="4">
        <v>19450</v>
      </c>
      <c r="N173" s="4">
        <f t="shared" si="19"/>
        <v>8849.75</v>
      </c>
      <c r="O173" s="16">
        <f t="shared" si="20"/>
        <v>0.3127147766323024</v>
      </c>
      <c r="P173" s="19">
        <v>41548</v>
      </c>
      <c r="Q173" s="5">
        <f t="shared" si="21"/>
        <v>10</v>
      </c>
      <c r="R173" s="3" t="str">
        <f t="shared" si="22"/>
        <v>October</v>
      </c>
      <c r="S173" s="6">
        <f t="shared" si="23"/>
        <v>2013</v>
      </c>
    </row>
    <row r="174" spans="1:19" ht="12.75" x14ac:dyDescent="0.2">
      <c r="A174" s="2" t="s">
        <v>15</v>
      </c>
      <c r="B174" s="2" t="str">
        <f t="shared" si="16"/>
        <v>Government</v>
      </c>
      <c r="C174" s="2" t="s">
        <v>16</v>
      </c>
      <c r="D174" s="2" t="str">
        <f>PROPER(Table1[[#This Row],[Country]])</f>
        <v>Canada</v>
      </c>
      <c r="E174" s="3" t="s">
        <v>17</v>
      </c>
      <c r="F174" s="3" t="s">
        <v>33</v>
      </c>
      <c r="G174" s="13">
        <v>831</v>
      </c>
      <c r="H174" s="4">
        <v>3</v>
      </c>
      <c r="I174" s="4">
        <v>20</v>
      </c>
      <c r="J174" s="4">
        <f t="shared" si="17"/>
        <v>16620</v>
      </c>
      <c r="K174" s="4">
        <v>498.6</v>
      </c>
      <c r="L174" s="4">
        <f t="shared" si="18"/>
        <v>16121.4</v>
      </c>
      <c r="M174" s="4">
        <v>8310</v>
      </c>
      <c r="N174" s="4">
        <f t="shared" si="19"/>
        <v>7811.4</v>
      </c>
      <c r="O174" s="16">
        <f t="shared" si="20"/>
        <v>0.4845360824742268</v>
      </c>
      <c r="P174" s="19">
        <v>41760</v>
      </c>
      <c r="Q174" s="5">
        <f t="shared" si="21"/>
        <v>5</v>
      </c>
      <c r="R174" s="3" t="str">
        <f t="shared" si="22"/>
        <v>May</v>
      </c>
      <c r="S174" s="6">
        <f t="shared" si="23"/>
        <v>2014</v>
      </c>
    </row>
    <row r="175" spans="1:19" ht="12.75" x14ac:dyDescent="0.2">
      <c r="A175" s="2" t="s">
        <v>15</v>
      </c>
      <c r="B175" s="2" t="str">
        <f t="shared" si="16"/>
        <v>Government</v>
      </c>
      <c r="C175" s="2" t="s">
        <v>22</v>
      </c>
      <c r="D175" s="2" t="str">
        <f>PROPER(Table1[[#This Row],[Country]])</f>
        <v>Mexico</v>
      </c>
      <c r="E175" s="3" t="s">
        <v>28</v>
      </c>
      <c r="F175" s="3" t="s">
        <v>33</v>
      </c>
      <c r="G175" s="13">
        <v>1760</v>
      </c>
      <c r="H175" s="4">
        <v>10</v>
      </c>
      <c r="I175" s="4">
        <v>7</v>
      </c>
      <c r="J175" s="4">
        <f t="shared" si="17"/>
        <v>12320</v>
      </c>
      <c r="K175" s="4">
        <v>369.6</v>
      </c>
      <c r="L175" s="4">
        <f t="shared" si="18"/>
        <v>11950.4</v>
      </c>
      <c r="M175" s="4">
        <v>8800</v>
      </c>
      <c r="N175" s="4">
        <f t="shared" si="19"/>
        <v>3150.3999999999996</v>
      </c>
      <c r="O175" s="16">
        <f t="shared" si="20"/>
        <v>0.2636229749631811</v>
      </c>
      <c r="P175" s="19">
        <v>41518</v>
      </c>
      <c r="Q175" s="5">
        <f t="shared" si="21"/>
        <v>9</v>
      </c>
      <c r="R175" s="3" t="str">
        <f t="shared" si="22"/>
        <v>September</v>
      </c>
      <c r="S175" s="6">
        <f t="shared" si="23"/>
        <v>2013</v>
      </c>
    </row>
    <row r="176" spans="1:19" ht="12.75" x14ac:dyDescent="0.2">
      <c r="A176" s="2" t="s">
        <v>15</v>
      </c>
      <c r="B176" s="2" t="str">
        <f t="shared" si="16"/>
        <v>Government</v>
      </c>
      <c r="C176" s="2" t="s">
        <v>16</v>
      </c>
      <c r="D176" s="2" t="str">
        <f>PROPER(Table1[[#This Row],[Country]])</f>
        <v>Canada</v>
      </c>
      <c r="E176" s="3" t="s">
        <v>30</v>
      </c>
      <c r="F176" s="3" t="s">
        <v>33</v>
      </c>
      <c r="G176" s="13">
        <v>3850.5</v>
      </c>
      <c r="H176" s="4">
        <v>120</v>
      </c>
      <c r="I176" s="4">
        <v>20</v>
      </c>
      <c r="J176" s="4">
        <f t="shared" si="17"/>
        <v>77010</v>
      </c>
      <c r="K176" s="4">
        <v>2310.3000000000002</v>
      </c>
      <c r="L176" s="4">
        <f t="shared" si="18"/>
        <v>74699.7</v>
      </c>
      <c r="M176" s="4">
        <v>38505</v>
      </c>
      <c r="N176" s="4">
        <f t="shared" si="19"/>
        <v>36194.699999999997</v>
      </c>
      <c r="O176" s="16">
        <f t="shared" si="20"/>
        <v>0.4845360824742268</v>
      </c>
      <c r="P176" s="19">
        <v>41730</v>
      </c>
      <c r="Q176" s="5">
        <f t="shared" si="21"/>
        <v>4</v>
      </c>
      <c r="R176" s="3" t="str">
        <f t="shared" si="22"/>
        <v>April</v>
      </c>
      <c r="S176" s="6">
        <f t="shared" si="23"/>
        <v>2014</v>
      </c>
    </row>
    <row r="177" spans="1:19" ht="12.75" x14ac:dyDescent="0.2">
      <c r="A177" s="2" t="s">
        <v>24</v>
      </c>
      <c r="B177" s="2" t="str">
        <f t="shared" si="16"/>
        <v>Channel Partners</v>
      </c>
      <c r="C177" s="2" t="s">
        <v>19</v>
      </c>
      <c r="D177" s="2" t="str">
        <f>PROPER(Table1[[#This Row],[Country]])</f>
        <v>Germany</v>
      </c>
      <c r="E177" s="3" t="s">
        <v>31</v>
      </c>
      <c r="F177" s="3" t="s">
        <v>33</v>
      </c>
      <c r="G177" s="13">
        <v>2479</v>
      </c>
      <c r="H177" s="4">
        <v>250</v>
      </c>
      <c r="I177" s="4">
        <v>12</v>
      </c>
      <c r="J177" s="4">
        <f t="shared" si="17"/>
        <v>29748</v>
      </c>
      <c r="K177" s="4">
        <v>892.44</v>
      </c>
      <c r="L177" s="4">
        <f t="shared" si="18"/>
        <v>28855.56</v>
      </c>
      <c r="M177" s="4">
        <v>7437</v>
      </c>
      <c r="N177" s="4">
        <f t="shared" si="19"/>
        <v>21418.560000000001</v>
      </c>
      <c r="O177" s="16">
        <f t="shared" si="20"/>
        <v>0.74226804123711343</v>
      </c>
      <c r="P177" s="19">
        <v>41640</v>
      </c>
      <c r="Q177" s="5">
        <f t="shared" si="21"/>
        <v>1</v>
      </c>
      <c r="R177" s="3" t="str">
        <f t="shared" si="22"/>
        <v>January</v>
      </c>
      <c r="S177" s="6">
        <f t="shared" si="23"/>
        <v>2014</v>
      </c>
    </row>
    <row r="178" spans="1:19" ht="12.75" x14ac:dyDescent="0.2">
      <c r="A178" s="2" t="s">
        <v>20</v>
      </c>
      <c r="B178" s="2" t="str">
        <f t="shared" si="16"/>
        <v>Midmarket</v>
      </c>
      <c r="C178" s="2" t="s">
        <v>22</v>
      </c>
      <c r="D178" s="2" t="str">
        <f>PROPER(Table1[[#This Row],[Country]])</f>
        <v>Mexico</v>
      </c>
      <c r="E178" s="3" t="s">
        <v>23</v>
      </c>
      <c r="F178" s="3" t="s">
        <v>33</v>
      </c>
      <c r="G178" s="13">
        <v>2031</v>
      </c>
      <c r="H178" s="4">
        <v>5</v>
      </c>
      <c r="I178" s="4">
        <v>15</v>
      </c>
      <c r="J178" s="4">
        <f t="shared" si="17"/>
        <v>30465</v>
      </c>
      <c r="K178" s="4">
        <v>1218.5999999999999</v>
      </c>
      <c r="L178" s="4">
        <f t="shared" si="18"/>
        <v>29246.400000000001</v>
      </c>
      <c r="M178" s="4">
        <v>20310</v>
      </c>
      <c r="N178" s="4">
        <f t="shared" si="19"/>
        <v>8936.4000000000015</v>
      </c>
      <c r="O178" s="16">
        <f t="shared" si="20"/>
        <v>0.30555555555555558</v>
      </c>
      <c r="P178" s="19">
        <v>41913</v>
      </c>
      <c r="Q178" s="5">
        <f t="shared" si="21"/>
        <v>10</v>
      </c>
      <c r="R178" s="3" t="str">
        <f t="shared" si="22"/>
        <v>October</v>
      </c>
      <c r="S178" s="6">
        <f t="shared" si="23"/>
        <v>2014</v>
      </c>
    </row>
    <row r="179" spans="1:19" ht="12.75" x14ac:dyDescent="0.2">
      <c r="A179" s="2" t="s">
        <v>20</v>
      </c>
      <c r="B179" s="2" t="str">
        <f t="shared" si="16"/>
        <v>Midmarket</v>
      </c>
      <c r="C179" s="2" t="s">
        <v>22</v>
      </c>
      <c r="D179" s="2" t="str">
        <f>PROPER(Table1[[#This Row],[Country]])</f>
        <v>Mexico</v>
      </c>
      <c r="E179" s="3" t="s">
        <v>28</v>
      </c>
      <c r="F179" s="3" t="s">
        <v>33</v>
      </c>
      <c r="G179" s="13">
        <v>2031</v>
      </c>
      <c r="H179" s="4">
        <v>10</v>
      </c>
      <c r="I179" s="4">
        <v>15</v>
      </c>
      <c r="J179" s="4">
        <f t="shared" si="17"/>
        <v>30465</v>
      </c>
      <c r="K179" s="4">
        <v>1218.5999999999999</v>
      </c>
      <c r="L179" s="4">
        <f t="shared" si="18"/>
        <v>29246.400000000001</v>
      </c>
      <c r="M179" s="4">
        <v>20310</v>
      </c>
      <c r="N179" s="4">
        <f t="shared" si="19"/>
        <v>8936.4000000000015</v>
      </c>
      <c r="O179" s="16">
        <f t="shared" si="20"/>
        <v>0.30555555555555558</v>
      </c>
      <c r="P179" s="19">
        <v>41913</v>
      </c>
      <c r="Q179" s="5">
        <f t="shared" si="21"/>
        <v>10</v>
      </c>
      <c r="R179" s="3" t="str">
        <f t="shared" si="22"/>
        <v>October</v>
      </c>
      <c r="S179" s="6">
        <f t="shared" si="23"/>
        <v>2014</v>
      </c>
    </row>
    <row r="180" spans="1:19" ht="12.75" x14ac:dyDescent="0.2">
      <c r="A180" s="2" t="s">
        <v>20</v>
      </c>
      <c r="B180" s="2" t="str">
        <f t="shared" si="16"/>
        <v>Midmarket</v>
      </c>
      <c r="C180" s="2" t="s">
        <v>21</v>
      </c>
      <c r="D180" s="2" t="str">
        <f>PROPER(Table1[[#This Row],[Country]])</f>
        <v>France</v>
      </c>
      <c r="E180" s="3" t="s">
        <v>28</v>
      </c>
      <c r="F180" s="3" t="s">
        <v>33</v>
      </c>
      <c r="G180" s="13">
        <v>2261</v>
      </c>
      <c r="H180" s="4">
        <v>10</v>
      </c>
      <c r="I180" s="4">
        <v>15</v>
      </c>
      <c r="J180" s="4">
        <f t="shared" si="17"/>
        <v>33915</v>
      </c>
      <c r="K180" s="4">
        <v>1356.6</v>
      </c>
      <c r="L180" s="4">
        <f t="shared" si="18"/>
        <v>32558.400000000001</v>
      </c>
      <c r="M180" s="4">
        <v>22610</v>
      </c>
      <c r="N180" s="4">
        <f t="shared" si="19"/>
        <v>9948.4000000000015</v>
      </c>
      <c r="O180" s="16">
        <f t="shared" si="20"/>
        <v>0.30555555555555558</v>
      </c>
      <c r="P180" s="19">
        <v>41609</v>
      </c>
      <c r="Q180" s="5">
        <f t="shared" si="21"/>
        <v>12</v>
      </c>
      <c r="R180" s="3" t="str">
        <f t="shared" si="22"/>
        <v>December</v>
      </c>
      <c r="S180" s="6">
        <f t="shared" si="23"/>
        <v>2013</v>
      </c>
    </row>
    <row r="181" spans="1:19" ht="12.75" x14ac:dyDescent="0.2">
      <c r="A181" s="2" t="s">
        <v>15</v>
      </c>
      <c r="B181" s="2" t="str">
        <f t="shared" si="16"/>
        <v>Government</v>
      </c>
      <c r="C181" s="2" t="s">
        <v>71</v>
      </c>
      <c r="D181" s="2" t="str">
        <f>PROPER(Table1[[#This Row],[Country]])</f>
        <v>Usa</v>
      </c>
      <c r="E181" s="3" t="s">
        <v>30</v>
      </c>
      <c r="F181" s="3" t="s">
        <v>33</v>
      </c>
      <c r="G181" s="13">
        <v>736</v>
      </c>
      <c r="H181" s="4">
        <v>120</v>
      </c>
      <c r="I181" s="4">
        <v>20</v>
      </c>
      <c r="J181" s="4">
        <f t="shared" si="17"/>
        <v>14720</v>
      </c>
      <c r="K181" s="4">
        <v>588.79999999999995</v>
      </c>
      <c r="L181" s="4">
        <f t="shared" si="18"/>
        <v>14131.2</v>
      </c>
      <c r="M181" s="4">
        <v>7360</v>
      </c>
      <c r="N181" s="4">
        <f t="shared" si="19"/>
        <v>6771.2000000000007</v>
      </c>
      <c r="O181" s="16">
        <f t="shared" si="20"/>
        <v>0.47916666666666669</v>
      </c>
      <c r="P181" s="19">
        <v>41518</v>
      </c>
      <c r="Q181" s="5">
        <f t="shared" si="21"/>
        <v>9</v>
      </c>
      <c r="R181" s="3" t="str">
        <f t="shared" si="22"/>
        <v>September</v>
      </c>
      <c r="S181" s="6">
        <f t="shared" si="23"/>
        <v>2013</v>
      </c>
    </row>
    <row r="182" spans="1:19" ht="12.75" x14ac:dyDescent="0.2">
      <c r="A182" s="2" t="s">
        <v>15</v>
      </c>
      <c r="B182" s="2" t="str">
        <f t="shared" si="16"/>
        <v>Government</v>
      </c>
      <c r="C182" s="2" t="s">
        <v>16</v>
      </c>
      <c r="D182" s="2" t="str">
        <f>PROPER(Table1[[#This Row],[Country]])</f>
        <v>Canada</v>
      </c>
      <c r="E182" s="3" t="s">
        <v>17</v>
      </c>
      <c r="F182" s="3" t="s">
        <v>33</v>
      </c>
      <c r="G182" s="13">
        <v>2851</v>
      </c>
      <c r="H182" s="4">
        <v>3</v>
      </c>
      <c r="I182" s="4">
        <v>7</v>
      </c>
      <c r="J182" s="4">
        <f t="shared" si="17"/>
        <v>19957</v>
      </c>
      <c r="K182" s="4">
        <v>798.28</v>
      </c>
      <c r="L182" s="4">
        <f t="shared" si="18"/>
        <v>19158.72</v>
      </c>
      <c r="M182" s="4">
        <v>14255</v>
      </c>
      <c r="N182" s="4">
        <f t="shared" si="19"/>
        <v>4903.7200000000012</v>
      </c>
      <c r="O182" s="16">
        <f t="shared" si="20"/>
        <v>0.25595238095238099</v>
      </c>
      <c r="P182" s="19">
        <v>41548</v>
      </c>
      <c r="Q182" s="5">
        <f t="shared" si="21"/>
        <v>10</v>
      </c>
      <c r="R182" s="3" t="str">
        <f t="shared" si="22"/>
        <v>October</v>
      </c>
      <c r="S182" s="6">
        <f t="shared" si="23"/>
        <v>2013</v>
      </c>
    </row>
    <row r="183" spans="1:19" ht="12.75" x14ac:dyDescent="0.2">
      <c r="A183" s="2" t="s">
        <v>29</v>
      </c>
      <c r="B183" s="2" t="str">
        <f t="shared" si="16"/>
        <v>Small Business</v>
      </c>
      <c r="C183" s="2" t="s">
        <v>19</v>
      </c>
      <c r="D183" s="2" t="str">
        <f>PROPER(Table1[[#This Row],[Country]])</f>
        <v>Germany</v>
      </c>
      <c r="E183" s="3" t="s">
        <v>17</v>
      </c>
      <c r="F183" s="3" t="s">
        <v>33</v>
      </c>
      <c r="G183" s="13">
        <v>2021</v>
      </c>
      <c r="H183" s="4">
        <v>3</v>
      </c>
      <c r="I183" s="4">
        <v>300</v>
      </c>
      <c r="J183" s="4">
        <f t="shared" si="17"/>
        <v>606300</v>
      </c>
      <c r="K183" s="4">
        <v>24252</v>
      </c>
      <c r="L183" s="4">
        <f t="shared" si="18"/>
        <v>582048</v>
      </c>
      <c r="M183" s="4">
        <v>505250</v>
      </c>
      <c r="N183" s="4">
        <f t="shared" si="19"/>
        <v>76798</v>
      </c>
      <c r="O183" s="16">
        <f t="shared" si="20"/>
        <v>0.13194444444444445</v>
      </c>
      <c r="P183" s="19">
        <v>41913</v>
      </c>
      <c r="Q183" s="5">
        <f t="shared" si="21"/>
        <v>10</v>
      </c>
      <c r="R183" s="3" t="str">
        <f t="shared" si="22"/>
        <v>October</v>
      </c>
      <c r="S183" s="6">
        <f t="shared" si="23"/>
        <v>2014</v>
      </c>
    </row>
    <row r="184" spans="1:19" ht="12.75" x14ac:dyDescent="0.2">
      <c r="A184" s="2" t="s">
        <v>15</v>
      </c>
      <c r="B184" s="2" t="str">
        <f t="shared" si="16"/>
        <v>Government</v>
      </c>
      <c r="C184" s="2" t="s">
        <v>71</v>
      </c>
      <c r="D184" s="2" t="str">
        <f>PROPER(Table1[[#This Row],[Country]])</f>
        <v>Usa</v>
      </c>
      <c r="E184" s="3" t="s">
        <v>17</v>
      </c>
      <c r="F184" s="3" t="s">
        <v>33</v>
      </c>
      <c r="G184" s="13">
        <v>274</v>
      </c>
      <c r="H184" s="4">
        <v>3</v>
      </c>
      <c r="I184" s="4">
        <v>350</v>
      </c>
      <c r="J184" s="4">
        <f t="shared" si="17"/>
        <v>95900</v>
      </c>
      <c r="K184" s="4">
        <v>3836</v>
      </c>
      <c r="L184" s="4">
        <f t="shared" si="18"/>
        <v>92064</v>
      </c>
      <c r="M184" s="4">
        <v>71240</v>
      </c>
      <c r="N184" s="4">
        <f t="shared" si="19"/>
        <v>20824</v>
      </c>
      <c r="O184" s="16">
        <f t="shared" si="20"/>
        <v>0.22619047619047619</v>
      </c>
      <c r="P184" s="19">
        <v>41974</v>
      </c>
      <c r="Q184" s="5">
        <f t="shared" si="21"/>
        <v>12</v>
      </c>
      <c r="R184" s="3" t="str">
        <f t="shared" si="22"/>
        <v>December</v>
      </c>
      <c r="S184" s="6">
        <f t="shared" si="23"/>
        <v>2014</v>
      </c>
    </row>
    <row r="185" spans="1:19" ht="12.75" x14ac:dyDescent="0.2">
      <c r="A185" s="2" t="s">
        <v>20</v>
      </c>
      <c r="B185" s="2" t="str">
        <f t="shared" si="16"/>
        <v>Midmarket</v>
      </c>
      <c r="C185" s="2" t="s">
        <v>16</v>
      </c>
      <c r="D185" s="2" t="str">
        <f>PROPER(Table1[[#This Row],[Country]])</f>
        <v>Canada</v>
      </c>
      <c r="E185" s="3" t="s">
        <v>23</v>
      </c>
      <c r="F185" s="3" t="s">
        <v>33</v>
      </c>
      <c r="G185" s="13">
        <v>1967</v>
      </c>
      <c r="H185" s="4">
        <v>5</v>
      </c>
      <c r="I185" s="4">
        <v>15</v>
      </c>
      <c r="J185" s="4">
        <f t="shared" si="17"/>
        <v>29505</v>
      </c>
      <c r="K185" s="4">
        <v>1180.2</v>
      </c>
      <c r="L185" s="4">
        <f t="shared" si="18"/>
        <v>28324.799999999999</v>
      </c>
      <c r="M185" s="4">
        <v>19670</v>
      </c>
      <c r="N185" s="4">
        <f t="shared" si="19"/>
        <v>8654.7999999999993</v>
      </c>
      <c r="O185" s="16">
        <f t="shared" si="20"/>
        <v>0.30555555555555552</v>
      </c>
      <c r="P185" s="19">
        <v>41699</v>
      </c>
      <c r="Q185" s="5">
        <f t="shared" si="21"/>
        <v>3</v>
      </c>
      <c r="R185" s="3" t="str">
        <f t="shared" si="22"/>
        <v>March</v>
      </c>
      <c r="S185" s="6">
        <f t="shared" si="23"/>
        <v>2014</v>
      </c>
    </row>
    <row r="186" spans="1:19" ht="12.75" x14ac:dyDescent="0.2">
      <c r="A186" s="2" t="s">
        <v>29</v>
      </c>
      <c r="B186" s="2" t="str">
        <f t="shared" si="16"/>
        <v>Small Business</v>
      </c>
      <c r="C186" s="2" t="s">
        <v>19</v>
      </c>
      <c r="D186" s="2" t="str">
        <f>PROPER(Table1[[#This Row],[Country]])</f>
        <v>Germany</v>
      </c>
      <c r="E186" s="3" t="s">
        <v>23</v>
      </c>
      <c r="F186" s="3" t="s">
        <v>33</v>
      </c>
      <c r="G186" s="13">
        <v>1859</v>
      </c>
      <c r="H186" s="4">
        <v>5</v>
      </c>
      <c r="I186" s="4">
        <v>300</v>
      </c>
      <c r="J186" s="4">
        <f t="shared" si="17"/>
        <v>557700</v>
      </c>
      <c r="K186" s="4">
        <v>22308</v>
      </c>
      <c r="L186" s="4">
        <f t="shared" si="18"/>
        <v>535392</v>
      </c>
      <c r="M186" s="4">
        <v>464750</v>
      </c>
      <c r="N186" s="4">
        <f t="shared" si="19"/>
        <v>70642</v>
      </c>
      <c r="O186" s="16">
        <f t="shared" si="20"/>
        <v>0.13194444444444445</v>
      </c>
      <c r="P186" s="19">
        <v>41852</v>
      </c>
      <c r="Q186" s="5">
        <f t="shared" si="21"/>
        <v>8</v>
      </c>
      <c r="R186" s="3" t="str">
        <f t="shared" si="22"/>
        <v>August</v>
      </c>
      <c r="S186" s="6">
        <f t="shared" si="23"/>
        <v>2014</v>
      </c>
    </row>
    <row r="187" spans="1:19" ht="12.75" x14ac:dyDescent="0.2">
      <c r="A187" s="2" t="s">
        <v>15</v>
      </c>
      <c r="B187" s="2" t="str">
        <f t="shared" si="16"/>
        <v>Government</v>
      </c>
      <c r="C187" s="2" t="s">
        <v>16</v>
      </c>
      <c r="D187" s="2" t="str">
        <f>PROPER(Table1[[#This Row],[Country]])</f>
        <v>Canada</v>
      </c>
      <c r="E187" s="3" t="s">
        <v>23</v>
      </c>
      <c r="F187" s="3" t="s">
        <v>33</v>
      </c>
      <c r="G187" s="13">
        <v>2851</v>
      </c>
      <c r="H187" s="4">
        <v>5</v>
      </c>
      <c r="I187" s="4">
        <v>7</v>
      </c>
      <c r="J187" s="4">
        <f t="shared" si="17"/>
        <v>19957</v>
      </c>
      <c r="K187" s="4">
        <v>798.28</v>
      </c>
      <c r="L187" s="4">
        <f t="shared" si="18"/>
        <v>19158.72</v>
      </c>
      <c r="M187" s="4">
        <v>14255</v>
      </c>
      <c r="N187" s="4">
        <f t="shared" si="19"/>
        <v>4903.7200000000012</v>
      </c>
      <c r="O187" s="16">
        <f t="shared" si="20"/>
        <v>0.25595238095238099</v>
      </c>
      <c r="P187" s="19">
        <v>41548</v>
      </c>
      <c r="Q187" s="5">
        <f t="shared" si="21"/>
        <v>10</v>
      </c>
      <c r="R187" s="3" t="str">
        <f t="shared" si="22"/>
        <v>October</v>
      </c>
      <c r="S187" s="6">
        <f t="shared" si="23"/>
        <v>2013</v>
      </c>
    </row>
    <row r="188" spans="1:19" ht="12.75" x14ac:dyDescent="0.2">
      <c r="A188" s="2" t="s">
        <v>29</v>
      </c>
      <c r="B188" s="2" t="str">
        <f t="shared" si="16"/>
        <v>Small Business</v>
      </c>
      <c r="C188" s="2" t="s">
        <v>19</v>
      </c>
      <c r="D188" s="2" t="str">
        <f>PROPER(Table1[[#This Row],[Country]])</f>
        <v>Germany</v>
      </c>
      <c r="E188" s="3" t="s">
        <v>23</v>
      </c>
      <c r="F188" s="3" t="s">
        <v>33</v>
      </c>
      <c r="G188" s="13">
        <v>2021</v>
      </c>
      <c r="H188" s="4">
        <v>5</v>
      </c>
      <c r="I188" s="4">
        <v>300</v>
      </c>
      <c r="J188" s="4">
        <f t="shared" si="17"/>
        <v>606300</v>
      </c>
      <c r="K188" s="4">
        <v>24252</v>
      </c>
      <c r="L188" s="4">
        <f t="shared" si="18"/>
        <v>582048</v>
      </c>
      <c r="M188" s="4">
        <v>505250</v>
      </c>
      <c r="N188" s="4">
        <f t="shared" si="19"/>
        <v>76798</v>
      </c>
      <c r="O188" s="16">
        <f t="shared" si="20"/>
        <v>0.13194444444444445</v>
      </c>
      <c r="P188" s="19">
        <v>41913</v>
      </c>
      <c r="Q188" s="5">
        <f t="shared" si="21"/>
        <v>10</v>
      </c>
      <c r="R188" s="3" t="str">
        <f t="shared" si="22"/>
        <v>October</v>
      </c>
      <c r="S188" s="6">
        <f t="shared" si="23"/>
        <v>2014</v>
      </c>
    </row>
    <row r="189" spans="1:19" ht="12.75" x14ac:dyDescent="0.2">
      <c r="A189" s="2" t="s">
        <v>25</v>
      </c>
      <c r="B189" s="2" t="str">
        <f t="shared" si="16"/>
        <v>Enterprise</v>
      </c>
      <c r="C189" s="2" t="s">
        <v>22</v>
      </c>
      <c r="D189" s="2" t="str">
        <f>PROPER(Table1[[#This Row],[Country]])</f>
        <v>Mexico</v>
      </c>
      <c r="E189" s="3" t="s">
        <v>23</v>
      </c>
      <c r="F189" s="3" t="s">
        <v>33</v>
      </c>
      <c r="G189" s="13">
        <v>1138</v>
      </c>
      <c r="H189" s="4">
        <v>5</v>
      </c>
      <c r="I189" s="4">
        <v>125</v>
      </c>
      <c r="J189" s="4">
        <f t="shared" si="17"/>
        <v>142250</v>
      </c>
      <c r="K189" s="4">
        <v>5690</v>
      </c>
      <c r="L189" s="4">
        <f t="shared" si="18"/>
        <v>136560</v>
      </c>
      <c r="M189" s="4">
        <v>136560</v>
      </c>
      <c r="N189" s="4">
        <f t="shared" si="19"/>
        <v>0</v>
      </c>
      <c r="O189" s="16">
        <f t="shared" si="20"/>
        <v>0</v>
      </c>
      <c r="P189" s="19">
        <v>41974</v>
      </c>
      <c r="Q189" s="5">
        <f t="shared" si="21"/>
        <v>12</v>
      </c>
      <c r="R189" s="3" t="str">
        <f t="shared" si="22"/>
        <v>December</v>
      </c>
      <c r="S189" s="6">
        <f t="shared" si="23"/>
        <v>2014</v>
      </c>
    </row>
    <row r="190" spans="1:19" ht="12.75" x14ac:dyDescent="0.2">
      <c r="A190" s="2" t="s">
        <v>15</v>
      </c>
      <c r="B190" s="2" t="str">
        <f t="shared" si="16"/>
        <v>Government</v>
      </c>
      <c r="C190" s="2" t="s">
        <v>16</v>
      </c>
      <c r="D190" s="2" t="str">
        <f>PROPER(Table1[[#This Row],[Country]])</f>
        <v>Canada</v>
      </c>
      <c r="E190" s="3" t="s">
        <v>28</v>
      </c>
      <c r="F190" s="3" t="s">
        <v>33</v>
      </c>
      <c r="G190" s="13">
        <v>4251</v>
      </c>
      <c r="H190" s="4">
        <v>10</v>
      </c>
      <c r="I190" s="4">
        <v>7</v>
      </c>
      <c r="J190" s="4">
        <f t="shared" si="17"/>
        <v>29757</v>
      </c>
      <c r="K190" s="4">
        <v>1190.28</v>
      </c>
      <c r="L190" s="4">
        <f t="shared" si="18"/>
        <v>28566.720000000001</v>
      </c>
      <c r="M190" s="4">
        <v>21255</v>
      </c>
      <c r="N190" s="4">
        <f t="shared" si="19"/>
        <v>7311.7200000000012</v>
      </c>
      <c r="O190" s="16">
        <f t="shared" si="20"/>
        <v>0.25595238095238099</v>
      </c>
      <c r="P190" s="19">
        <v>41640</v>
      </c>
      <c r="Q190" s="5">
        <f t="shared" si="21"/>
        <v>1</v>
      </c>
      <c r="R190" s="3" t="str">
        <f t="shared" si="22"/>
        <v>January</v>
      </c>
      <c r="S190" s="6">
        <f t="shared" si="23"/>
        <v>2014</v>
      </c>
    </row>
    <row r="191" spans="1:19" ht="12.75" x14ac:dyDescent="0.2">
      <c r="A191" s="2" t="s">
        <v>25</v>
      </c>
      <c r="B191" s="2" t="str">
        <f t="shared" si="16"/>
        <v>Enterprise</v>
      </c>
      <c r="C191" s="2" t="s">
        <v>19</v>
      </c>
      <c r="D191" s="2" t="str">
        <f>PROPER(Table1[[#This Row],[Country]])</f>
        <v>Germany</v>
      </c>
      <c r="E191" s="3" t="s">
        <v>28</v>
      </c>
      <c r="F191" s="3" t="s">
        <v>33</v>
      </c>
      <c r="G191" s="13">
        <v>795</v>
      </c>
      <c r="H191" s="4">
        <v>10</v>
      </c>
      <c r="I191" s="4">
        <v>125</v>
      </c>
      <c r="J191" s="4">
        <f t="shared" si="17"/>
        <v>99375</v>
      </c>
      <c r="K191" s="4">
        <v>3975</v>
      </c>
      <c r="L191" s="4">
        <f t="shared" si="18"/>
        <v>95400</v>
      </c>
      <c r="M191" s="4">
        <v>95400</v>
      </c>
      <c r="N191" s="4">
        <f t="shared" si="19"/>
        <v>0</v>
      </c>
      <c r="O191" s="16">
        <f t="shared" si="20"/>
        <v>0</v>
      </c>
      <c r="P191" s="19">
        <v>41699</v>
      </c>
      <c r="Q191" s="5">
        <f t="shared" si="21"/>
        <v>3</v>
      </c>
      <c r="R191" s="3" t="str">
        <f t="shared" si="22"/>
        <v>March</v>
      </c>
      <c r="S191" s="6">
        <f t="shared" si="23"/>
        <v>2014</v>
      </c>
    </row>
    <row r="192" spans="1:19" ht="12.75" x14ac:dyDescent="0.2">
      <c r="A192" s="2" t="s">
        <v>29</v>
      </c>
      <c r="B192" s="2" t="str">
        <f t="shared" si="16"/>
        <v>Small Business</v>
      </c>
      <c r="C192" s="2" t="s">
        <v>19</v>
      </c>
      <c r="D192" s="2" t="str">
        <f>PROPER(Table1[[#This Row],[Country]])</f>
        <v>Germany</v>
      </c>
      <c r="E192" s="3" t="s">
        <v>28</v>
      </c>
      <c r="F192" s="3" t="s">
        <v>33</v>
      </c>
      <c r="G192" s="13">
        <v>1414.5</v>
      </c>
      <c r="H192" s="4">
        <v>10</v>
      </c>
      <c r="I192" s="4">
        <v>300</v>
      </c>
      <c r="J192" s="4">
        <f t="shared" si="17"/>
        <v>424350</v>
      </c>
      <c r="K192" s="4">
        <v>16974</v>
      </c>
      <c r="L192" s="4">
        <f t="shared" si="18"/>
        <v>407376</v>
      </c>
      <c r="M192" s="4">
        <v>353625</v>
      </c>
      <c r="N192" s="4">
        <f t="shared" si="19"/>
        <v>53751</v>
      </c>
      <c r="O192" s="16">
        <f t="shared" si="20"/>
        <v>0.13194444444444445</v>
      </c>
      <c r="P192" s="19">
        <v>41730</v>
      </c>
      <c r="Q192" s="5">
        <f t="shared" si="21"/>
        <v>4</v>
      </c>
      <c r="R192" s="3" t="str">
        <f t="shared" si="22"/>
        <v>April</v>
      </c>
      <c r="S192" s="6">
        <f t="shared" si="23"/>
        <v>2014</v>
      </c>
    </row>
    <row r="193" spans="1:19" ht="12.75" x14ac:dyDescent="0.2">
      <c r="A193" s="2" t="s">
        <v>29</v>
      </c>
      <c r="B193" s="2" t="str">
        <f t="shared" si="16"/>
        <v>Small Business</v>
      </c>
      <c r="C193" s="2" t="s">
        <v>71</v>
      </c>
      <c r="D193" s="2" t="str">
        <f>PROPER(Table1[[#This Row],[Country]])</f>
        <v>Usa</v>
      </c>
      <c r="E193" s="3" t="s">
        <v>28</v>
      </c>
      <c r="F193" s="3" t="s">
        <v>33</v>
      </c>
      <c r="G193" s="13">
        <v>2918</v>
      </c>
      <c r="H193" s="4">
        <v>10</v>
      </c>
      <c r="I193" s="4">
        <v>300</v>
      </c>
      <c r="J193" s="4">
        <f t="shared" si="17"/>
        <v>875400</v>
      </c>
      <c r="K193" s="4">
        <v>35016</v>
      </c>
      <c r="L193" s="4">
        <f t="shared" si="18"/>
        <v>840384</v>
      </c>
      <c r="M193" s="4">
        <v>729500</v>
      </c>
      <c r="N193" s="4">
        <f t="shared" si="19"/>
        <v>110884</v>
      </c>
      <c r="O193" s="16">
        <f t="shared" si="20"/>
        <v>0.13194444444444445</v>
      </c>
      <c r="P193" s="19">
        <v>41760</v>
      </c>
      <c r="Q193" s="5">
        <f t="shared" si="21"/>
        <v>5</v>
      </c>
      <c r="R193" s="3" t="str">
        <f t="shared" si="22"/>
        <v>May</v>
      </c>
      <c r="S193" s="6">
        <f t="shared" si="23"/>
        <v>2014</v>
      </c>
    </row>
    <row r="194" spans="1:19" ht="12.75" x14ac:dyDescent="0.2">
      <c r="A194" s="2" t="s">
        <v>15</v>
      </c>
      <c r="B194" s="2" t="str">
        <f t="shared" ref="B194:B257" si="24">PROPER(A194)</f>
        <v>Government</v>
      </c>
      <c r="C194" s="2" t="s">
        <v>71</v>
      </c>
      <c r="D194" s="2" t="str">
        <f>PROPER(Table1[[#This Row],[Country]])</f>
        <v>Usa</v>
      </c>
      <c r="E194" s="3" t="s">
        <v>28</v>
      </c>
      <c r="F194" s="3" t="s">
        <v>33</v>
      </c>
      <c r="G194" s="13">
        <v>3450</v>
      </c>
      <c r="H194" s="4">
        <v>10</v>
      </c>
      <c r="I194" s="4">
        <v>350</v>
      </c>
      <c r="J194" s="4">
        <f t="shared" si="17"/>
        <v>1207500</v>
      </c>
      <c r="K194" s="4">
        <v>48300</v>
      </c>
      <c r="L194" s="4">
        <f t="shared" si="18"/>
        <v>1159200</v>
      </c>
      <c r="M194" s="4">
        <v>897000</v>
      </c>
      <c r="N194" s="4">
        <f t="shared" si="19"/>
        <v>262200</v>
      </c>
      <c r="O194" s="16">
        <f t="shared" si="20"/>
        <v>0.22619047619047619</v>
      </c>
      <c r="P194" s="19">
        <v>41821</v>
      </c>
      <c r="Q194" s="5">
        <f t="shared" si="21"/>
        <v>7</v>
      </c>
      <c r="R194" s="3" t="str">
        <f t="shared" si="22"/>
        <v>July</v>
      </c>
      <c r="S194" s="6">
        <f t="shared" si="23"/>
        <v>2014</v>
      </c>
    </row>
    <row r="195" spans="1:19" ht="12.75" x14ac:dyDescent="0.2">
      <c r="A195" s="2" t="s">
        <v>25</v>
      </c>
      <c r="B195" s="2" t="str">
        <f t="shared" si="24"/>
        <v>Enterprise</v>
      </c>
      <c r="C195" s="2" t="s">
        <v>21</v>
      </c>
      <c r="D195" s="2" t="str">
        <f>PROPER(Table1[[#This Row],[Country]])</f>
        <v>France</v>
      </c>
      <c r="E195" s="3" t="s">
        <v>28</v>
      </c>
      <c r="F195" s="3" t="s">
        <v>33</v>
      </c>
      <c r="G195" s="13">
        <v>2988</v>
      </c>
      <c r="H195" s="4">
        <v>10</v>
      </c>
      <c r="I195" s="4">
        <v>125</v>
      </c>
      <c r="J195" s="4">
        <f t="shared" ref="J195:J258" si="25">G195*I195</f>
        <v>373500</v>
      </c>
      <c r="K195" s="4">
        <v>14940</v>
      </c>
      <c r="L195" s="4">
        <f t="shared" ref="L195:L258" si="26">J195-K195</f>
        <v>358560</v>
      </c>
      <c r="M195" s="4">
        <v>358560</v>
      </c>
      <c r="N195" s="4">
        <f t="shared" ref="N195:N258" si="27">L195-M195</f>
        <v>0</v>
      </c>
      <c r="O195" s="16">
        <f t="shared" ref="O195:O258" si="28">N195/L195</f>
        <v>0</v>
      </c>
      <c r="P195" s="19">
        <v>41821</v>
      </c>
      <c r="Q195" s="5">
        <f t="shared" ref="Q195:Q258" si="29">MONTH(P195)</f>
        <v>7</v>
      </c>
      <c r="R195" s="3" t="str">
        <f t="shared" ref="R195:R258" si="30">TEXT(P195,"mmmm")</f>
        <v>July</v>
      </c>
      <c r="S195" s="6">
        <f t="shared" ref="S195:S258" si="31">YEAR(P195)</f>
        <v>2014</v>
      </c>
    </row>
    <row r="196" spans="1:19" ht="12.75" x14ac:dyDescent="0.2">
      <c r="A196" s="2" t="s">
        <v>20</v>
      </c>
      <c r="B196" s="2" t="str">
        <f t="shared" si="24"/>
        <v>Midmarket</v>
      </c>
      <c r="C196" s="2" t="s">
        <v>16</v>
      </c>
      <c r="D196" s="2" t="str">
        <f>PROPER(Table1[[#This Row],[Country]])</f>
        <v>Canada</v>
      </c>
      <c r="E196" s="3" t="s">
        <v>28</v>
      </c>
      <c r="F196" s="3" t="s">
        <v>33</v>
      </c>
      <c r="G196" s="13">
        <v>218</v>
      </c>
      <c r="H196" s="4">
        <v>10</v>
      </c>
      <c r="I196" s="4">
        <v>15</v>
      </c>
      <c r="J196" s="4">
        <f t="shared" si="25"/>
        <v>3270</v>
      </c>
      <c r="K196" s="4">
        <v>130.80000000000001</v>
      </c>
      <c r="L196" s="4">
        <f t="shared" si="26"/>
        <v>3139.2</v>
      </c>
      <c r="M196" s="4">
        <v>2180</v>
      </c>
      <c r="N196" s="4">
        <f t="shared" si="27"/>
        <v>959.19999999999982</v>
      </c>
      <c r="O196" s="16">
        <f t="shared" si="28"/>
        <v>0.30555555555555552</v>
      </c>
      <c r="P196" s="19">
        <v>41883</v>
      </c>
      <c r="Q196" s="5">
        <f t="shared" si="29"/>
        <v>9</v>
      </c>
      <c r="R196" s="3" t="str">
        <f t="shared" si="30"/>
        <v>September</v>
      </c>
      <c r="S196" s="6">
        <f t="shared" si="31"/>
        <v>2014</v>
      </c>
    </row>
    <row r="197" spans="1:19" ht="12.75" x14ac:dyDescent="0.2">
      <c r="A197" s="2" t="s">
        <v>15</v>
      </c>
      <c r="B197" s="2" t="str">
        <f t="shared" si="24"/>
        <v>Government</v>
      </c>
      <c r="C197" s="2" t="s">
        <v>16</v>
      </c>
      <c r="D197" s="2" t="str">
        <f>PROPER(Table1[[#This Row],[Country]])</f>
        <v>Canada</v>
      </c>
      <c r="E197" s="3" t="s">
        <v>28</v>
      </c>
      <c r="F197" s="3" t="s">
        <v>33</v>
      </c>
      <c r="G197" s="13">
        <v>2074</v>
      </c>
      <c r="H197" s="4">
        <v>10</v>
      </c>
      <c r="I197" s="4">
        <v>20</v>
      </c>
      <c r="J197" s="4">
        <f t="shared" si="25"/>
        <v>41480</v>
      </c>
      <c r="K197" s="4">
        <v>1659.2</v>
      </c>
      <c r="L197" s="4">
        <f t="shared" si="26"/>
        <v>39820.800000000003</v>
      </c>
      <c r="M197" s="4">
        <v>20740</v>
      </c>
      <c r="N197" s="4">
        <f t="shared" si="27"/>
        <v>19080.800000000003</v>
      </c>
      <c r="O197" s="16">
        <f t="shared" si="28"/>
        <v>0.47916666666666669</v>
      </c>
      <c r="P197" s="19">
        <v>41883</v>
      </c>
      <c r="Q197" s="5">
        <f t="shared" si="29"/>
        <v>9</v>
      </c>
      <c r="R197" s="3" t="str">
        <f t="shared" si="30"/>
        <v>September</v>
      </c>
      <c r="S197" s="6">
        <f t="shared" si="31"/>
        <v>2014</v>
      </c>
    </row>
    <row r="198" spans="1:19" ht="12.75" x14ac:dyDescent="0.2">
      <c r="A198" s="2" t="s">
        <v>15</v>
      </c>
      <c r="B198" s="2" t="str">
        <f t="shared" si="24"/>
        <v>Government</v>
      </c>
      <c r="C198" s="2" t="s">
        <v>71</v>
      </c>
      <c r="D198" s="2" t="str">
        <f>PROPER(Table1[[#This Row],[Country]])</f>
        <v>Usa</v>
      </c>
      <c r="E198" s="3" t="s">
        <v>28</v>
      </c>
      <c r="F198" s="3" t="s">
        <v>33</v>
      </c>
      <c r="G198" s="13">
        <v>1056</v>
      </c>
      <c r="H198" s="4">
        <v>10</v>
      </c>
      <c r="I198" s="4">
        <v>20</v>
      </c>
      <c r="J198" s="4">
        <f t="shared" si="25"/>
        <v>21120</v>
      </c>
      <c r="K198" s="4">
        <v>844.8</v>
      </c>
      <c r="L198" s="4">
        <f t="shared" si="26"/>
        <v>20275.2</v>
      </c>
      <c r="M198" s="4">
        <v>10560</v>
      </c>
      <c r="N198" s="4">
        <f t="shared" si="27"/>
        <v>9715.2000000000007</v>
      </c>
      <c r="O198" s="16">
        <f t="shared" si="28"/>
        <v>0.47916666666666669</v>
      </c>
      <c r="P198" s="19">
        <v>41883</v>
      </c>
      <c r="Q198" s="5">
        <f t="shared" si="29"/>
        <v>9</v>
      </c>
      <c r="R198" s="3" t="str">
        <f t="shared" si="30"/>
        <v>September</v>
      </c>
      <c r="S198" s="6">
        <f t="shared" si="31"/>
        <v>2014</v>
      </c>
    </row>
    <row r="199" spans="1:19" ht="12.75" x14ac:dyDescent="0.2">
      <c r="A199" s="2" t="s">
        <v>20</v>
      </c>
      <c r="B199" s="2" t="str">
        <f t="shared" si="24"/>
        <v>Midmarket</v>
      </c>
      <c r="C199" s="2" t="s">
        <v>71</v>
      </c>
      <c r="D199" s="2" t="str">
        <f>PROPER(Table1[[#This Row],[Country]])</f>
        <v>Usa</v>
      </c>
      <c r="E199" s="3" t="s">
        <v>28</v>
      </c>
      <c r="F199" s="3" t="s">
        <v>33</v>
      </c>
      <c r="G199" s="13">
        <v>671</v>
      </c>
      <c r="H199" s="4">
        <v>10</v>
      </c>
      <c r="I199" s="4">
        <v>15</v>
      </c>
      <c r="J199" s="4">
        <f t="shared" si="25"/>
        <v>10065</v>
      </c>
      <c r="K199" s="4">
        <v>402.6</v>
      </c>
      <c r="L199" s="4">
        <f t="shared" si="26"/>
        <v>9662.4</v>
      </c>
      <c r="M199" s="4">
        <v>6710</v>
      </c>
      <c r="N199" s="4">
        <f t="shared" si="27"/>
        <v>2952.3999999999996</v>
      </c>
      <c r="O199" s="16">
        <f t="shared" si="28"/>
        <v>0.30555555555555552</v>
      </c>
      <c r="P199" s="19">
        <v>41548</v>
      </c>
      <c r="Q199" s="5">
        <f t="shared" si="29"/>
        <v>10</v>
      </c>
      <c r="R199" s="3" t="str">
        <f t="shared" si="30"/>
        <v>October</v>
      </c>
      <c r="S199" s="6">
        <f t="shared" si="31"/>
        <v>2013</v>
      </c>
    </row>
    <row r="200" spans="1:19" ht="12.75" x14ac:dyDescent="0.2">
      <c r="A200" s="2" t="s">
        <v>20</v>
      </c>
      <c r="B200" s="2" t="str">
        <f t="shared" si="24"/>
        <v>Midmarket</v>
      </c>
      <c r="C200" s="2" t="s">
        <v>22</v>
      </c>
      <c r="D200" s="2" t="str">
        <f>PROPER(Table1[[#This Row],[Country]])</f>
        <v>Mexico</v>
      </c>
      <c r="E200" s="3" t="s">
        <v>28</v>
      </c>
      <c r="F200" s="3" t="s">
        <v>33</v>
      </c>
      <c r="G200" s="13">
        <v>1514</v>
      </c>
      <c r="H200" s="4">
        <v>10</v>
      </c>
      <c r="I200" s="4">
        <v>15</v>
      </c>
      <c r="J200" s="4">
        <f t="shared" si="25"/>
        <v>22710</v>
      </c>
      <c r="K200" s="4">
        <v>908.4</v>
      </c>
      <c r="L200" s="4">
        <f t="shared" si="26"/>
        <v>21801.599999999999</v>
      </c>
      <c r="M200" s="4">
        <v>15140</v>
      </c>
      <c r="N200" s="4">
        <f t="shared" si="27"/>
        <v>6661.5999999999985</v>
      </c>
      <c r="O200" s="16">
        <f t="shared" si="28"/>
        <v>0.30555555555555552</v>
      </c>
      <c r="P200" s="19">
        <v>41548</v>
      </c>
      <c r="Q200" s="5">
        <f t="shared" si="29"/>
        <v>10</v>
      </c>
      <c r="R200" s="3" t="str">
        <f t="shared" si="30"/>
        <v>October</v>
      </c>
      <c r="S200" s="6">
        <f t="shared" si="31"/>
        <v>2013</v>
      </c>
    </row>
    <row r="201" spans="1:19" ht="12.75" x14ac:dyDescent="0.2">
      <c r="A201" s="2" t="s">
        <v>15</v>
      </c>
      <c r="B201" s="2" t="str">
        <f t="shared" si="24"/>
        <v>Government</v>
      </c>
      <c r="C201" s="2" t="s">
        <v>71</v>
      </c>
      <c r="D201" s="2" t="str">
        <f>PROPER(Table1[[#This Row],[Country]])</f>
        <v>Usa</v>
      </c>
      <c r="E201" s="3" t="s">
        <v>28</v>
      </c>
      <c r="F201" s="3" t="s">
        <v>33</v>
      </c>
      <c r="G201" s="13">
        <v>274</v>
      </c>
      <c r="H201" s="4">
        <v>10</v>
      </c>
      <c r="I201" s="4">
        <v>350</v>
      </c>
      <c r="J201" s="4">
        <f t="shared" si="25"/>
        <v>95900</v>
      </c>
      <c r="K201" s="4">
        <v>3836</v>
      </c>
      <c r="L201" s="4">
        <f t="shared" si="26"/>
        <v>92064</v>
      </c>
      <c r="M201" s="4">
        <v>71240</v>
      </c>
      <c r="N201" s="4">
        <f t="shared" si="27"/>
        <v>20824</v>
      </c>
      <c r="O201" s="16">
        <f t="shared" si="28"/>
        <v>0.22619047619047619</v>
      </c>
      <c r="P201" s="19">
        <v>41974</v>
      </c>
      <c r="Q201" s="5">
        <f t="shared" si="29"/>
        <v>12</v>
      </c>
      <c r="R201" s="3" t="str">
        <f t="shared" si="30"/>
        <v>December</v>
      </c>
      <c r="S201" s="6">
        <f t="shared" si="31"/>
        <v>2014</v>
      </c>
    </row>
    <row r="202" spans="1:19" ht="12.75" x14ac:dyDescent="0.2">
      <c r="A202" s="2" t="s">
        <v>25</v>
      </c>
      <c r="B202" s="2" t="str">
        <f t="shared" si="24"/>
        <v>Enterprise</v>
      </c>
      <c r="C202" s="2" t="s">
        <v>22</v>
      </c>
      <c r="D202" s="2" t="str">
        <f>PROPER(Table1[[#This Row],[Country]])</f>
        <v>Mexico</v>
      </c>
      <c r="E202" s="3" t="s">
        <v>28</v>
      </c>
      <c r="F202" s="3" t="s">
        <v>33</v>
      </c>
      <c r="G202" s="13">
        <v>1138</v>
      </c>
      <c r="H202" s="4">
        <v>10</v>
      </c>
      <c r="I202" s="4">
        <v>125</v>
      </c>
      <c r="J202" s="4">
        <f t="shared" si="25"/>
        <v>142250</v>
      </c>
      <c r="K202" s="4">
        <v>5690</v>
      </c>
      <c r="L202" s="4">
        <f t="shared" si="26"/>
        <v>136560</v>
      </c>
      <c r="M202" s="4">
        <v>136560</v>
      </c>
      <c r="N202" s="4">
        <f t="shared" si="27"/>
        <v>0</v>
      </c>
      <c r="O202" s="16">
        <f t="shared" si="28"/>
        <v>0</v>
      </c>
      <c r="P202" s="19">
        <v>41974</v>
      </c>
      <c r="Q202" s="5">
        <f t="shared" si="29"/>
        <v>12</v>
      </c>
      <c r="R202" s="3" t="str">
        <f t="shared" si="30"/>
        <v>December</v>
      </c>
      <c r="S202" s="6">
        <f t="shared" si="31"/>
        <v>2014</v>
      </c>
    </row>
    <row r="203" spans="1:19" ht="12.75" x14ac:dyDescent="0.2">
      <c r="A203" s="2" t="s">
        <v>24</v>
      </c>
      <c r="B203" s="2" t="str">
        <f t="shared" si="24"/>
        <v>Channel Partners</v>
      </c>
      <c r="C203" s="2" t="s">
        <v>71</v>
      </c>
      <c r="D203" s="2" t="str">
        <f>PROPER(Table1[[#This Row],[Country]])</f>
        <v>Usa</v>
      </c>
      <c r="E203" s="3" t="s">
        <v>30</v>
      </c>
      <c r="F203" s="3" t="s">
        <v>33</v>
      </c>
      <c r="G203" s="13">
        <v>1465</v>
      </c>
      <c r="H203" s="4">
        <v>120</v>
      </c>
      <c r="I203" s="4">
        <v>12</v>
      </c>
      <c r="J203" s="4">
        <f t="shared" si="25"/>
        <v>17580</v>
      </c>
      <c r="K203" s="4">
        <v>703.2</v>
      </c>
      <c r="L203" s="4">
        <f t="shared" si="26"/>
        <v>16876.8</v>
      </c>
      <c r="M203" s="4">
        <v>4395</v>
      </c>
      <c r="N203" s="4">
        <f t="shared" si="27"/>
        <v>12481.8</v>
      </c>
      <c r="O203" s="16">
        <f t="shared" si="28"/>
        <v>0.73958333333333337</v>
      </c>
      <c r="P203" s="19">
        <v>41699</v>
      </c>
      <c r="Q203" s="5">
        <f t="shared" si="29"/>
        <v>3</v>
      </c>
      <c r="R203" s="3" t="str">
        <f t="shared" si="30"/>
        <v>March</v>
      </c>
      <c r="S203" s="6">
        <f t="shared" si="31"/>
        <v>2014</v>
      </c>
    </row>
    <row r="204" spans="1:19" ht="12.75" x14ac:dyDescent="0.2">
      <c r="A204" s="2" t="s">
        <v>15</v>
      </c>
      <c r="B204" s="2" t="str">
        <f t="shared" si="24"/>
        <v>Government</v>
      </c>
      <c r="C204" s="2" t="s">
        <v>16</v>
      </c>
      <c r="D204" s="2" t="str">
        <f>PROPER(Table1[[#This Row],[Country]])</f>
        <v>Canada</v>
      </c>
      <c r="E204" s="3" t="s">
        <v>30</v>
      </c>
      <c r="F204" s="3" t="s">
        <v>33</v>
      </c>
      <c r="G204" s="13">
        <v>2646</v>
      </c>
      <c r="H204" s="4">
        <v>120</v>
      </c>
      <c r="I204" s="4">
        <v>20</v>
      </c>
      <c r="J204" s="4">
        <f t="shared" si="25"/>
        <v>52920</v>
      </c>
      <c r="K204" s="4">
        <v>2116.8000000000002</v>
      </c>
      <c r="L204" s="4">
        <f t="shared" si="26"/>
        <v>50803.199999999997</v>
      </c>
      <c r="M204" s="4">
        <v>26460</v>
      </c>
      <c r="N204" s="4">
        <f t="shared" si="27"/>
        <v>24343.199999999997</v>
      </c>
      <c r="O204" s="16">
        <f t="shared" si="28"/>
        <v>0.47916666666666663</v>
      </c>
      <c r="P204" s="19">
        <v>41518</v>
      </c>
      <c r="Q204" s="5">
        <f t="shared" si="29"/>
        <v>9</v>
      </c>
      <c r="R204" s="3" t="str">
        <f t="shared" si="30"/>
        <v>September</v>
      </c>
      <c r="S204" s="6">
        <f t="shared" si="31"/>
        <v>2013</v>
      </c>
    </row>
    <row r="205" spans="1:19" ht="12.75" x14ac:dyDescent="0.2">
      <c r="A205" s="2" t="s">
        <v>15</v>
      </c>
      <c r="B205" s="2" t="str">
        <f t="shared" si="24"/>
        <v>Government</v>
      </c>
      <c r="C205" s="2" t="s">
        <v>21</v>
      </c>
      <c r="D205" s="2" t="str">
        <f>PROPER(Table1[[#This Row],[Country]])</f>
        <v>France</v>
      </c>
      <c r="E205" s="3" t="s">
        <v>30</v>
      </c>
      <c r="F205" s="3" t="s">
        <v>33</v>
      </c>
      <c r="G205" s="13">
        <v>2177</v>
      </c>
      <c r="H205" s="4">
        <v>120</v>
      </c>
      <c r="I205" s="4">
        <v>350</v>
      </c>
      <c r="J205" s="4">
        <f t="shared" si="25"/>
        <v>761950</v>
      </c>
      <c r="K205" s="4">
        <v>30478</v>
      </c>
      <c r="L205" s="4">
        <f t="shared" si="26"/>
        <v>731472</v>
      </c>
      <c r="M205" s="4">
        <v>566020</v>
      </c>
      <c r="N205" s="4">
        <f t="shared" si="27"/>
        <v>165452</v>
      </c>
      <c r="O205" s="16">
        <f t="shared" si="28"/>
        <v>0.22619047619047619</v>
      </c>
      <c r="P205" s="19">
        <v>41913</v>
      </c>
      <c r="Q205" s="5">
        <f t="shared" si="29"/>
        <v>10</v>
      </c>
      <c r="R205" s="3" t="str">
        <f t="shared" si="30"/>
        <v>October</v>
      </c>
      <c r="S205" s="6">
        <f t="shared" si="31"/>
        <v>2014</v>
      </c>
    </row>
    <row r="206" spans="1:19" ht="12.75" x14ac:dyDescent="0.2">
      <c r="A206" s="2" t="s">
        <v>24</v>
      </c>
      <c r="B206" s="2" t="str">
        <f t="shared" si="24"/>
        <v>Channel Partners</v>
      </c>
      <c r="C206" s="2" t="s">
        <v>21</v>
      </c>
      <c r="D206" s="2" t="str">
        <f>PROPER(Table1[[#This Row],[Country]])</f>
        <v>France</v>
      </c>
      <c r="E206" s="3" t="s">
        <v>31</v>
      </c>
      <c r="F206" s="3" t="s">
        <v>33</v>
      </c>
      <c r="G206" s="13">
        <v>866</v>
      </c>
      <c r="H206" s="4">
        <v>250</v>
      </c>
      <c r="I206" s="4">
        <v>12</v>
      </c>
      <c r="J206" s="4">
        <f t="shared" si="25"/>
        <v>10392</v>
      </c>
      <c r="K206" s="4">
        <v>415.68</v>
      </c>
      <c r="L206" s="4">
        <f t="shared" si="26"/>
        <v>9976.32</v>
      </c>
      <c r="M206" s="4">
        <v>2598</v>
      </c>
      <c r="N206" s="4">
        <f t="shared" si="27"/>
        <v>7378.32</v>
      </c>
      <c r="O206" s="16">
        <f t="shared" si="28"/>
        <v>0.73958333333333337</v>
      </c>
      <c r="P206" s="19">
        <v>41760</v>
      </c>
      <c r="Q206" s="5">
        <f t="shared" si="29"/>
        <v>5</v>
      </c>
      <c r="R206" s="3" t="str">
        <f t="shared" si="30"/>
        <v>May</v>
      </c>
      <c r="S206" s="6">
        <f t="shared" si="31"/>
        <v>2014</v>
      </c>
    </row>
    <row r="207" spans="1:19" ht="12.75" x14ac:dyDescent="0.2">
      <c r="A207" s="2" t="s">
        <v>15</v>
      </c>
      <c r="B207" s="2" t="str">
        <f t="shared" si="24"/>
        <v>Government</v>
      </c>
      <c r="C207" s="2" t="s">
        <v>71</v>
      </c>
      <c r="D207" s="2" t="str">
        <f>PROPER(Table1[[#This Row],[Country]])</f>
        <v>Usa</v>
      </c>
      <c r="E207" s="3" t="s">
        <v>31</v>
      </c>
      <c r="F207" s="3" t="s">
        <v>33</v>
      </c>
      <c r="G207" s="13">
        <v>349</v>
      </c>
      <c r="H207" s="4">
        <v>250</v>
      </c>
      <c r="I207" s="4">
        <v>350</v>
      </c>
      <c r="J207" s="4">
        <f t="shared" si="25"/>
        <v>122150</v>
      </c>
      <c r="K207" s="4">
        <v>4886</v>
      </c>
      <c r="L207" s="4">
        <f t="shared" si="26"/>
        <v>117264</v>
      </c>
      <c r="M207" s="4">
        <v>90740</v>
      </c>
      <c r="N207" s="4">
        <f t="shared" si="27"/>
        <v>26524</v>
      </c>
      <c r="O207" s="16">
        <f t="shared" si="28"/>
        <v>0.22619047619047619</v>
      </c>
      <c r="P207" s="19">
        <v>41518</v>
      </c>
      <c r="Q207" s="5">
        <f t="shared" si="29"/>
        <v>9</v>
      </c>
      <c r="R207" s="3" t="str">
        <f t="shared" si="30"/>
        <v>September</v>
      </c>
      <c r="S207" s="6">
        <f t="shared" si="31"/>
        <v>2013</v>
      </c>
    </row>
    <row r="208" spans="1:19" ht="12.75" x14ac:dyDescent="0.2">
      <c r="A208" s="2" t="s">
        <v>15</v>
      </c>
      <c r="B208" s="2" t="str">
        <f t="shared" si="24"/>
        <v>Government</v>
      </c>
      <c r="C208" s="2" t="s">
        <v>21</v>
      </c>
      <c r="D208" s="2" t="str">
        <f>PROPER(Table1[[#This Row],[Country]])</f>
        <v>France</v>
      </c>
      <c r="E208" s="3" t="s">
        <v>31</v>
      </c>
      <c r="F208" s="3" t="s">
        <v>33</v>
      </c>
      <c r="G208" s="13">
        <v>2177</v>
      </c>
      <c r="H208" s="4">
        <v>250</v>
      </c>
      <c r="I208" s="4">
        <v>350</v>
      </c>
      <c r="J208" s="4">
        <f t="shared" si="25"/>
        <v>761950</v>
      </c>
      <c r="K208" s="4">
        <v>30478</v>
      </c>
      <c r="L208" s="4">
        <f t="shared" si="26"/>
        <v>731472</v>
      </c>
      <c r="M208" s="4">
        <v>566020</v>
      </c>
      <c r="N208" s="4">
        <f t="shared" si="27"/>
        <v>165452</v>
      </c>
      <c r="O208" s="16">
        <f t="shared" si="28"/>
        <v>0.22619047619047619</v>
      </c>
      <c r="P208" s="19">
        <v>41913</v>
      </c>
      <c r="Q208" s="5">
        <f t="shared" si="29"/>
        <v>10</v>
      </c>
      <c r="R208" s="3" t="str">
        <f t="shared" si="30"/>
        <v>October</v>
      </c>
      <c r="S208" s="6">
        <f t="shared" si="31"/>
        <v>2014</v>
      </c>
    </row>
    <row r="209" spans="1:19" ht="12.75" x14ac:dyDescent="0.2">
      <c r="A209" s="2" t="s">
        <v>20</v>
      </c>
      <c r="B209" s="2" t="str">
        <f t="shared" si="24"/>
        <v>Midmarket</v>
      </c>
      <c r="C209" s="2" t="s">
        <v>22</v>
      </c>
      <c r="D209" s="2" t="str">
        <f>PROPER(Table1[[#This Row],[Country]])</f>
        <v>Mexico</v>
      </c>
      <c r="E209" s="3" t="s">
        <v>31</v>
      </c>
      <c r="F209" s="3" t="s">
        <v>33</v>
      </c>
      <c r="G209" s="13">
        <v>1514</v>
      </c>
      <c r="H209" s="4">
        <v>250</v>
      </c>
      <c r="I209" s="4">
        <v>15</v>
      </c>
      <c r="J209" s="4">
        <f t="shared" si="25"/>
        <v>22710</v>
      </c>
      <c r="K209" s="4">
        <v>908.4</v>
      </c>
      <c r="L209" s="4">
        <f t="shared" si="26"/>
        <v>21801.599999999999</v>
      </c>
      <c r="M209" s="4">
        <v>15140</v>
      </c>
      <c r="N209" s="4">
        <f t="shared" si="27"/>
        <v>6661.5999999999985</v>
      </c>
      <c r="O209" s="16">
        <f t="shared" si="28"/>
        <v>0.30555555555555552</v>
      </c>
      <c r="P209" s="19">
        <v>41548</v>
      </c>
      <c r="Q209" s="5">
        <f t="shared" si="29"/>
        <v>10</v>
      </c>
      <c r="R209" s="3" t="str">
        <f t="shared" si="30"/>
        <v>October</v>
      </c>
      <c r="S209" s="6">
        <f t="shared" si="31"/>
        <v>2013</v>
      </c>
    </row>
    <row r="210" spans="1:19" ht="12.75" x14ac:dyDescent="0.2">
      <c r="A210" s="2" t="s">
        <v>15</v>
      </c>
      <c r="B210" s="2" t="str">
        <f t="shared" si="24"/>
        <v>Government</v>
      </c>
      <c r="C210" s="2" t="s">
        <v>22</v>
      </c>
      <c r="D210" s="2" t="str">
        <f>PROPER(Table1[[#This Row],[Country]])</f>
        <v>Mexico</v>
      </c>
      <c r="E210" s="3" t="s">
        <v>32</v>
      </c>
      <c r="F210" s="3" t="s">
        <v>33</v>
      </c>
      <c r="G210" s="13">
        <v>1865</v>
      </c>
      <c r="H210" s="4">
        <v>260</v>
      </c>
      <c r="I210" s="4">
        <v>350</v>
      </c>
      <c r="J210" s="4">
        <f t="shared" si="25"/>
        <v>652750</v>
      </c>
      <c r="K210" s="4">
        <v>26110</v>
      </c>
      <c r="L210" s="4">
        <f t="shared" si="26"/>
        <v>626640</v>
      </c>
      <c r="M210" s="4">
        <v>484900</v>
      </c>
      <c r="N210" s="4">
        <f t="shared" si="27"/>
        <v>141740</v>
      </c>
      <c r="O210" s="16">
        <f t="shared" si="28"/>
        <v>0.22619047619047619</v>
      </c>
      <c r="P210" s="19">
        <v>41671</v>
      </c>
      <c r="Q210" s="5">
        <f t="shared" si="29"/>
        <v>2</v>
      </c>
      <c r="R210" s="3" t="str">
        <f t="shared" si="30"/>
        <v>February</v>
      </c>
      <c r="S210" s="6">
        <f t="shared" si="31"/>
        <v>2014</v>
      </c>
    </row>
    <row r="211" spans="1:19" ht="12.75" x14ac:dyDescent="0.2">
      <c r="A211" s="2" t="s">
        <v>25</v>
      </c>
      <c r="B211" s="2" t="str">
        <f t="shared" si="24"/>
        <v>Enterprise</v>
      </c>
      <c r="C211" s="2" t="s">
        <v>22</v>
      </c>
      <c r="D211" s="2" t="str">
        <f>PROPER(Table1[[#This Row],[Country]])</f>
        <v>Mexico</v>
      </c>
      <c r="E211" s="3" t="s">
        <v>32</v>
      </c>
      <c r="F211" s="3" t="s">
        <v>33</v>
      </c>
      <c r="G211" s="13">
        <v>1074</v>
      </c>
      <c r="H211" s="4">
        <v>260</v>
      </c>
      <c r="I211" s="4">
        <v>125</v>
      </c>
      <c r="J211" s="4">
        <f t="shared" si="25"/>
        <v>134250</v>
      </c>
      <c r="K211" s="4">
        <v>5370</v>
      </c>
      <c r="L211" s="4">
        <f t="shared" si="26"/>
        <v>128880</v>
      </c>
      <c r="M211" s="4">
        <v>128880</v>
      </c>
      <c r="N211" s="4">
        <f t="shared" si="27"/>
        <v>0</v>
      </c>
      <c r="O211" s="16">
        <f t="shared" si="28"/>
        <v>0</v>
      </c>
      <c r="P211" s="19">
        <v>41730</v>
      </c>
      <c r="Q211" s="5">
        <f t="shared" si="29"/>
        <v>4</v>
      </c>
      <c r="R211" s="3" t="str">
        <f t="shared" si="30"/>
        <v>April</v>
      </c>
      <c r="S211" s="6">
        <f t="shared" si="31"/>
        <v>2014</v>
      </c>
    </row>
    <row r="212" spans="1:19" ht="12.75" x14ac:dyDescent="0.2">
      <c r="A212" s="2" t="s">
        <v>15</v>
      </c>
      <c r="B212" s="2" t="str">
        <f t="shared" si="24"/>
        <v>Government</v>
      </c>
      <c r="C212" s="2" t="s">
        <v>19</v>
      </c>
      <c r="D212" s="2" t="str">
        <f>PROPER(Table1[[#This Row],[Country]])</f>
        <v>Germany</v>
      </c>
      <c r="E212" s="3" t="s">
        <v>32</v>
      </c>
      <c r="F212" s="3" t="s">
        <v>33</v>
      </c>
      <c r="G212" s="13">
        <v>1907</v>
      </c>
      <c r="H212" s="4">
        <v>260</v>
      </c>
      <c r="I212" s="4">
        <v>350</v>
      </c>
      <c r="J212" s="4">
        <f t="shared" si="25"/>
        <v>667450</v>
      </c>
      <c r="K212" s="4">
        <v>26698</v>
      </c>
      <c r="L212" s="4">
        <f t="shared" si="26"/>
        <v>640752</v>
      </c>
      <c r="M212" s="4">
        <v>495820</v>
      </c>
      <c r="N212" s="4">
        <f t="shared" si="27"/>
        <v>144932</v>
      </c>
      <c r="O212" s="16">
        <f t="shared" si="28"/>
        <v>0.22619047619047619</v>
      </c>
      <c r="P212" s="19">
        <v>41883</v>
      </c>
      <c r="Q212" s="5">
        <f t="shared" si="29"/>
        <v>9</v>
      </c>
      <c r="R212" s="3" t="str">
        <f t="shared" si="30"/>
        <v>September</v>
      </c>
      <c r="S212" s="6">
        <f t="shared" si="31"/>
        <v>2014</v>
      </c>
    </row>
    <row r="213" spans="1:19" ht="12.75" x14ac:dyDescent="0.2">
      <c r="A213" s="2" t="s">
        <v>20</v>
      </c>
      <c r="B213" s="2" t="str">
        <f t="shared" si="24"/>
        <v>Midmarket</v>
      </c>
      <c r="C213" s="2" t="s">
        <v>71</v>
      </c>
      <c r="D213" s="2" t="str">
        <f>PROPER(Table1[[#This Row],[Country]])</f>
        <v>Usa</v>
      </c>
      <c r="E213" s="3" t="s">
        <v>32</v>
      </c>
      <c r="F213" s="3" t="s">
        <v>33</v>
      </c>
      <c r="G213" s="13">
        <v>671</v>
      </c>
      <c r="H213" s="4">
        <v>260</v>
      </c>
      <c r="I213" s="4">
        <v>15</v>
      </c>
      <c r="J213" s="4">
        <f t="shared" si="25"/>
        <v>10065</v>
      </c>
      <c r="K213" s="4">
        <v>402.6</v>
      </c>
      <c r="L213" s="4">
        <f t="shared" si="26"/>
        <v>9662.4</v>
      </c>
      <c r="M213" s="4">
        <v>6710</v>
      </c>
      <c r="N213" s="4">
        <f t="shared" si="27"/>
        <v>2952.3999999999996</v>
      </c>
      <c r="O213" s="16">
        <f t="shared" si="28"/>
        <v>0.30555555555555552</v>
      </c>
      <c r="P213" s="19">
        <v>41548</v>
      </c>
      <c r="Q213" s="5">
        <f t="shared" si="29"/>
        <v>10</v>
      </c>
      <c r="R213" s="3" t="str">
        <f t="shared" si="30"/>
        <v>October</v>
      </c>
      <c r="S213" s="6">
        <f t="shared" si="31"/>
        <v>2013</v>
      </c>
    </row>
    <row r="214" spans="1:19" ht="12.75" x14ac:dyDescent="0.2">
      <c r="A214" s="2" t="s">
        <v>15</v>
      </c>
      <c r="B214" s="2" t="str">
        <f t="shared" si="24"/>
        <v>Government</v>
      </c>
      <c r="C214" s="2" t="s">
        <v>16</v>
      </c>
      <c r="D214" s="2" t="str">
        <f>PROPER(Table1[[#This Row],[Country]])</f>
        <v>Canada</v>
      </c>
      <c r="E214" s="3" t="s">
        <v>32</v>
      </c>
      <c r="F214" s="3" t="s">
        <v>33</v>
      </c>
      <c r="G214" s="13">
        <v>1778</v>
      </c>
      <c r="H214" s="4">
        <v>260</v>
      </c>
      <c r="I214" s="4">
        <v>350</v>
      </c>
      <c r="J214" s="4">
        <f t="shared" si="25"/>
        <v>622300</v>
      </c>
      <c r="K214" s="4">
        <v>24892</v>
      </c>
      <c r="L214" s="4">
        <f t="shared" si="26"/>
        <v>597408</v>
      </c>
      <c r="M214" s="4">
        <v>462280</v>
      </c>
      <c r="N214" s="4">
        <f t="shared" si="27"/>
        <v>135128</v>
      </c>
      <c r="O214" s="16">
        <f t="shared" si="28"/>
        <v>0.22619047619047619</v>
      </c>
      <c r="P214" s="19">
        <v>41609</v>
      </c>
      <c r="Q214" s="5">
        <f t="shared" si="29"/>
        <v>12</v>
      </c>
      <c r="R214" s="3" t="str">
        <f t="shared" si="30"/>
        <v>December</v>
      </c>
      <c r="S214" s="6">
        <f t="shared" si="31"/>
        <v>2013</v>
      </c>
    </row>
    <row r="215" spans="1:19" ht="12.75" x14ac:dyDescent="0.2">
      <c r="A215" s="2" t="s">
        <v>15</v>
      </c>
      <c r="B215" s="2" t="str">
        <f t="shared" si="24"/>
        <v>Government</v>
      </c>
      <c r="C215" s="2" t="s">
        <v>19</v>
      </c>
      <c r="D215" s="2" t="str">
        <f>PROPER(Table1[[#This Row],[Country]])</f>
        <v>Germany</v>
      </c>
      <c r="E215" s="3" t="s">
        <v>23</v>
      </c>
      <c r="F215" s="3" t="s">
        <v>34</v>
      </c>
      <c r="G215" s="13">
        <v>1159</v>
      </c>
      <c r="H215" s="4">
        <v>5</v>
      </c>
      <c r="I215" s="4">
        <v>7</v>
      </c>
      <c r="J215" s="4">
        <f t="shared" si="25"/>
        <v>8113</v>
      </c>
      <c r="K215" s="4">
        <v>405.65</v>
      </c>
      <c r="L215" s="4">
        <f t="shared" si="26"/>
        <v>7707.35</v>
      </c>
      <c r="M215" s="4">
        <v>5795</v>
      </c>
      <c r="N215" s="4">
        <f t="shared" si="27"/>
        <v>1912.3500000000004</v>
      </c>
      <c r="O215" s="16">
        <f t="shared" si="28"/>
        <v>0.24812030075187974</v>
      </c>
      <c r="P215" s="19">
        <v>41548</v>
      </c>
      <c r="Q215" s="5">
        <f t="shared" si="29"/>
        <v>10</v>
      </c>
      <c r="R215" s="3" t="str">
        <f t="shared" si="30"/>
        <v>October</v>
      </c>
      <c r="S215" s="6">
        <f t="shared" si="31"/>
        <v>2013</v>
      </c>
    </row>
    <row r="216" spans="1:19" ht="12.75" x14ac:dyDescent="0.2">
      <c r="A216" s="2" t="s">
        <v>15</v>
      </c>
      <c r="B216" s="2" t="str">
        <f t="shared" si="24"/>
        <v>Government</v>
      </c>
      <c r="C216" s="2" t="s">
        <v>19</v>
      </c>
      <c r="D216" s="2" t="str">
        <f>PROPER(Table1[[#This Row],[Country]])</f>
        <v>Germany</v>
      </c>
      <c r="E216" s="3" t="s">
        <v>28</v>
      </c>
      <c r="F216" s="3" t="s">
        <v>34</v>
      </c>
      <c r="G216" s="13">
        <v>1372</v>
      </c>
      <c r="H216" s="4">
        <v>10</v>
      </c>
      <c r="I216" s="4">
        <v>7</v>
      </c>
      <c r="J216" s="4">
        <f t="shared" si="25"/>
        <v>9604</v>
      </c>
      <c r="K216" s="4">
        <v>480.2</v>
      </c>
      <c r="L216" s="4">
        <f t="shared" si="26"/>
        <v>9123.7999999999993</v>
      </c>
      <c r="M216" s="4">
        <v>6860</v>
      </c>
      <c r="N216" s="4">
        <f t="shared" si="27"/>
        <v>2263.7999999999993</v>
      </c>
      <c r="O216" s="16">
        <f t="shared" si="28"/>
        <v>0.24812030075187963</v>
      </c>
      <c r="P216" s="19">
        <v>41640</v>
      </c>
      <c r="Q216" s="5">
        <f t="shared" si="29"/>
        <v>1</v>
      </c>
      <c r="R216" s="3" t="str">
        <f t="shared" si="30"/>
        <v>January</v>
      </c>
      <c r="S216" s="6">
        <f t="shared" si="31"/>
        <v>2014</v>
      </c>
    </row>
    <row r="217" spans="1:19" ht="12.75" x14ac:dyDescent="0.2">
      <c r="A217" s="2" t="s">
        <v>15</v>
      </c>
      <c r="B217" s="2" t="str">
        <f t="shared" si="24"/>
        <v>Government</v>
      </c>
      <c r="C217" s="2" t="s">
        <v>16</v>
      </c>
      <c r="D217" s="2" t="str">
        <f>PROPER(Table1[[#This Row],[Country]])</f>
        <v>Canada</v>
      </c>
      <c r="E217" s="3" t="s">
        <v>28</v>
      </c>
      <c r="F217" s="3" t="s">
        <v>34</v>
      </c>
      <c r="G217" s="13">
        <v>2349</v>
      </c>
      <c r="H217" s="4">
        <v>10</v>
      </c>
      <c r="I217" s="4">
        <v>7</v>
      </c>
      <c r="J217" s="4">
        <f t="shared" si="25"/>
        <v>16443</v>
      </c>
      <c r="K217" s="4">
        <v>822.15</v>
      </c>
      <c r="L217" s="4">
        <f t="shared" si="26"/>
        <v>15620.85</v>
      </c>
      <c r="M217" s="4">
        <v>11745</v>
      </c>
      <c r="N217" s="4">
        <f t="shared" si="27"/>
        <v>3875.8500000000004</v>
      </c>
      <c r="O217" s="16">
        <f t="shared" si="28"/>
        <v>0.24812030075187971</v>
      </c>
      <c r="P217" s="19">
        <v>41518</v>
      </c>
      <c r="Q217" s="5">
        <f t="shared" si="29"/>
        <v>9</v>
      </c>
      <c r="R217" s="3" t="str">
        <f t="shared" si="30"/>
        <v>September</v>
      </c>
      <c r="S217" s="6">
        <f t="shared" si="31"/>
        <v>2013</v>
      </c>
    </row>
    <row r="218" spans="1:19" ht="12.75" x14ac:dyDescent="0.2">
      <c r="A218" s="2" t="s">
        <v>15</v>
      </c>
      <c r="B218" s="2" t="str">
        <f t="shared" si="24"/>
        <v>Government</v>
      </c>
      <c r="C218" s="2" t="s">
        <v>22</v>
      </c>
      <c r="D218" s="2" t="str">
        <f>PROPER(Table1[[#This Row],[Country]])</f>
        <v>Mexico</v>
      </c>
      <c r="E218" s="3" t="s">
        <v>28</v>
      </c>
      <c r="F218" s="3" t="s">
        <v>34</v>
      </c>
      <c r="G218" s="13">
        <v>2689</v>
      </c>
      <c r="H218" s="4">
        <v>10</v>
      </c>
      <c r="I218" s="4">
        <v>7</v>
      </c>
      <c r="J218" s="4">
        <f t="shared" si="25"/>
        <v>18823</v>
      </c>
      <c r="K218" s="4">
        <v>941.15</v>
      </c>
      <c r="L218" s="4">
        <f t="shared" si="26"/>
        <v>17881.849999999999</v>
      </c>
      <c r="M218" s="4">
        <v>13445</v>
      </c>
      <c r="N218" s="4">
        <f t="shared" si="27"/>
        <v>4436.8499999999985</v>
      </c>
      <c r="O218" s="16">
        <f t="shared" si="28"/>
        <v>0.24812030075187963</v>
      </c>
      <c r="P218" s="19">
        <v>41913</v>
      </c>
      <c r="Q218" s="5">
        <f t="shared" si="29"/>
        <v>10</v>
      </c>
      <c r="R218" s="3" t="str">
        <f t="shared" si="30"/>
        <v>October</v>
      </c>
      <c r="S218" s="6">
        <f t="shared" si="31"/>
        <v>2014</v>
      </c>
    </row>
    <row r="219" spans="1:19" ht="12.75" x14ac:dyDescent="0.2">
      <c r="A219" s="2" t="s">
        <v>24</v>
      </c>
      <c r="B219" s="2" t="str">
        <f t="shared" si="24"/>
        <v>Channel Partners</v>
      </c>
      <c r="C219" s="2" t="s">
        <v>16</v>
      </c>
      <c r="D219" s="2" t="str">
        <f>PROPER(Table1[[#This Row],[Country]])</f>
        <v>Canada</v>
      </c>
      <c r="E219" s="3" t="s">
        <v>28</v>
      </c>
      <c r="F219" s="3" t="s">
        <v>34</v>
      </c>
      <c r="G219" s="13">
        <v>2431</v>
      </c>
      <c r="H219" s="4">
        <v>10</v>
      </c>
      <c r="I219" s="4">
        <v>12</v>
      </c>
      <c r="J219" s="4">
        <f t="shared" si="25"/>
        <v>29172</v>
      </c>
      <c r="K219" s="4">
        <v>1458.6</v>
      </c>
      <c r="L219" s="4">
        <f t="shared" si="26"/>
        <v>27713.4</v>
      </c>
      <c r="M219" s="4">
        <v>7293</v>
      </c>
      <c r="N219" s="4">
        <f t="shared" si="27"/>
        <v>20420.400000000001</v>
      </c>
      <c r="O219" s="16">
        <f t="shared" si="28"/>
        <v>0.73684210526315785</v>
      </c>
      <c r="P219" s="19">
        <v>41974</v>
      </c>
      <c r="Q219" s="5">
        <f t="shared" si="29"/>
        <v>12</v>
      </c>
      <c r="R219" s="3" t="str">
        <f t="shared" si="30"/>
        <v>December</v>
      </c>
      <c r="S219" s="6">
        <f t="shared" si="31"/>
        <v>2014</v>
      </c>
    </row>
    <row r="220" spans="1:19" ht="12.75" x14ac:dyDescent="0.2">
      <c r="A220" s="2" t="s">
        <v>24</v>
      </c>
      <c r="B220" s="2" t="str">
        <f t="shared" si="24"/>
        <v>Channel Partners</v>
      </c>
      <c r="C220" s="2" t="s">
        <v>16</v>
      </c>
      <c r="D220" s="2" t="str">
        <f>PROPER(Table1[[#This Row],[Country]])</f>
        <v>Canada</v>
      </c>
      <c r="E220" s="3" t="s">
        <v>30</v>
      </c>
      <c r="F220" s="3" t="s">
        <v>34</v>
      </c>
      <c r="G220" s="13">
        <v>2431</v>
      </c>
      <c r="H220" s="4">
        <v>120</v>
      </c>
      <c r="I220" s="4">
        <v>12</v>
      </c>
      <c r="J220" s="4">
        <f t="shared" si="25"/>
        <v>29172</v>
      </c>
      <c r="K220" s="4">
        <v>1458.6</v>
      </c>
      <c r="L220" s="4">
        <f t="shared" si="26"/>
        <v>27713.4</v>
      </c>
      <c r="M220" s="4">
        <v>7293</v>
      </c>
      <c r="N220" s="4">
        <f t="shared" si="27"/>
        <v>20420.400000000001</v>
      </c>
      <c r="O220" s="16">
        <f t="shared" si="28"/>
        <v>0.73684210526315785</v>
      </c>
      <c r="P220" s="19">
        <v>41974</v>
      </c>
      <c r="Q220" s="5">
        <f t="shared" si="29"/>
        <v>12</v>
      </c>
      <c r="R220" s="3" t="str">
        <f t="shared" si="30"/>
        <v>December</v>
      </c>
      <c r="S220" s="6">
        <f t="shared" si="31"/>
        <v>2014</v>
      </c>
    </row>
    <row r="221" spans="1:19" ht="12.75" x14ac:dyDescent="0.2">
      <c r="A221" s="2" t="s">
        <v>15</v>
      </c>
      <c r="B221" s="2" t="str">
        <f t="shared" si="24"/>
        <v>Government</v>
      </c>
      <c r="C221" s="2" t="s">
        <v>22</v>
      </c>
      <c r="D221" s="2" t="str">
        <f>PROPER(Table1[[#This Row],[Country]])</f>
        <v>Mexico</v>
      </c>
      <c r="E221" s="3" t="s">
        <v>31</v>
      </c>
      <c r="F221" s="3" t="s">
        <v>34</v>
      </c>
      <c r="G221" s="13">
        <v>2689</v>
      </c>
      <c r="H221" s="4">
        <v>250</v>
      </c>
      <c r="I221" s="4">
        <v>7</v>
      </c>
      <c r="J221" s="4">
        <f t="shared" si="25"/>
        <v>18823</v>
      </c>
      <c r="K221" s="4">
        <v>941.15</v>
      </c>
      <c r="L221" s="4">
        <f t="shared" si="26"/>
        <v>17881.849999999999</v>
      </c>
      <c r="M221" s="4">
        <v>13445</v>
      </c>
      <c r="N221" s="4">
        <f t="shared" si="27"/>
        <v>4436.8499999999985</v>
      </c>
      <c r="O221" s="16">
        <f t="shared" si="28"/>
        <v>0.24812030075187963</v>
      </c>
      <c r="P221" s="19">
        <v>41913</v>
      </c>
      <c r="Q221" s="5">
        <f t="shared" si="29"/>
        <v>10</v>
      </c>
      <c r="R221" s="3" t="str">
        <f t="shared" si="30"/>
        <v>October</v>
      </c>
      <c r="S221" s="6">
        <f t="shared" si="31"/>
        <v>2014</v>
      </c>
    </row>
    <row r="222" spans="1:19" ht="12.75" x14ac:dyDescent="0.2">
      <c r="A222" s="2" t="s">
        <v>15</v>
      </c>
      <c r="B222" s="2" t="str">
        <f t="shared" si="24"/>
        <v>Government</v>
      </c>
      <c r="C222" s="2" t="s">
        <v>22</v>
      </c>
      <c r="D222" s="2" t="str">
        <f>PROPER(Table1[[#This Row],[Country]])</f>
        <v>Mexico</v>
      </c>
      <c r="E222" s="3" t="s">
        <v>32</v>
      </c>
      <c r="F222" s="3" t="s">
        <v>34</v>
      </c>
      <c r="G222" s="13">
        <v>1683</v>
      </c>
      <c r="H222" s="4">
        <v>260</v>
      </c>
      <c r="I222" s="4">
        <v>7</v>
      </c>
      <c r="J222" s="4">
        <f t="shared" si="25"/>
        <v>11781</v>
      </c>
      <c r="K222" s="4">
        <v>589.04999999999995</v>
      </c>
      <c r="L222" s="4">
        <f t="shared" si="26"/>
        <v>11191.95</v>
      </c>
      <c r="M222" s="4">
        <v>8415</v>
      </c>
      <c r="N222" s="4">
        <f t="shared" si="27"/>
        <v>2776.9500000000007</v>
      </c>
      <c r="O222" s="16">
        <f t="shared" si="28"/>
        <v>0.24812030075187974</v>
      </c>
      <c r="P222" s="19">
        <v>41821</v>
      </c>
      <c r="Q222" s="5">
        <f t="shared" si="29"/>
        <v>7</v>
      </c>
      <c r="R222" s="3" t="str">
        <f t="shared" si="30"/>
        <v>July</v>
      </c>
      <c r="S222" s="6">
        <f t="shared" si="31"/>
        <v>2014</v>
      </c>
    </row>
    <row r="223" spans="1:19" ht="12.75" x14ac:dyDescent="0.2">
      <c r="A223" s="2" t="s">
        <v>24</v>
      </c>
      <c r="B223" s="2" t="str">
        <f t="shared" si="24"/>
        <v>Channel Partners</v>
      </c>
      <c r="C223" s="2" t="s">
        <v>22</v>
      </c>
      <c r="D223" s="2" t="str">
        <f>PROPER(Table1[[#This Row],[Country]])</f>
        <v>Mexico</v>
      </c>
      <c r="E223" s="3" t="s">
        <v>32</v>
      </c>
      <c r="F223" s="3" t="s">
        <v>34</v>
      </c>
      <c r="G223" s="13">
        <v>1123</v>
      </c>
      <c r="H223" s="4">
        <v>260</v>
      </c>
      <c r="I223" s="4">
        <v>12</v>
      </c>
      <c r="J223" s="4">
        <f t="shared" si="25"/>
        <v>13476</v>
      </c>
      <c r="K223" s="4">
        <v>673.8</v>
      </c>
      <c r="L223" s="4">
        <f t="shared" si="26"/>
        <v>12802.2</v>
      </c>
      <c r="M223" s="4">
        <v>3369</v>
      </c>
      <c r="N223" s="4">
        <f t="shared" si="27"/>
        <v>9433.2000000000007</v>
      </c>
      <c r="O223" s="16">
        <f t="shared" si="28"/>
        <v>0.73684210526315796</v>
      </c>
      <c r="P223" s="19">
        <v>41852</v>
      </c>
      <c r="Q223" s="5">
        <f t="shared" si="29"/>
        <v>8</v>
      </c>
      <c r="R223" s="3" t="str">
        <f t="shared" si="30"/>
        <v>August</v>
      </c>
      <c r="S223" s="6">
        <f t="shared" si="31"/>
        <v>2014</v>
      </c>
    </row>
    <row r="224" spans="1:19" ht="12.75" x14ac:dyDescent="0.2">
      <c r="A224" s="2" t="s">
        <v>15</v>
      </c>
      <c r="B224" s="2" t="str">
        <f t="shared" si="24"/>
        <v>Government</v>
      </c>
      <c r="C224" s="2" t="s">
        <v>19</v>
      </c>
      <c r="D224" s="2" t="str">
        <f>PROPER(Table1[[#This Row],[Country]])</f>
        <v>Germany</v>
      </c>
      <c r="E224" s="3" t="s">
        <v>32</v>
      </c>
      <c r="F224" s="3" t="s">
        <v>34</v>
      </c>
      <c r="G224" s="13">
        <v>1159</v>
      </c>
      <c r="H224" s="4">
        <v>260</v>
      </c>
      <c r="I224" s="4">
        <v>7</v>
      </c>
      <c r="J224" s="4">
        <f t="shared" si="25"/>
        <v>8113</v>
      </c>
      <c r="K224" s="4">
        <v>405.65</v>
      </c>
      <c r="L224" s="4">
        <f t="shared" si="26"/>
        <v>7707.35</v>
      </c>
      <c r="M224" s="4">
        <v>5795</v>
      </c>
      <c r="N224" s="4">
        <f t="shared" si="27"/>
        <v>1912.3500000000004</v>
      </c>
      <c r="O224" s="16">
        <f t="shared" si="28"/>
        <v>0.24812030075187974</v>
      </c>
      <c r="P224" s="19">
        <v>41548</v>
      </c>
      <c r="Q224" s="5">
        <f t="shared" si="29"/>
        <v>10</v>
      </c>
      <c r="R224" s="3" t="str">
        <f t="shared" si="30"/>
        <v>October</v>
      </c>
      <c r="S224" s="6">
        <f t="shared" si="31"/>
        <v>2013</v>
      </c>
    </row>
    <row r="225" spans="1:19" ht="12.75" x14ac:dyDescent="0.2">
      <c r="A225" s="2" t="s">
        <v>24</v>
      </c>
      <c r="B225" s="2" t="str">
        <f t="shared" si="24"/>
        <v>Channel Partners</v>
      </c>
      <c r="C225" s="2" t="s">
        <v>21</v>
      </c>
      <c r="D225" s="2" t="str">
        <f>PROPER(Table1[[#This Row],[Country]])</f>
        <v>France</v>
      </c>
      <c r="E225" s="3" t="s">
        <v>17</v>
      </c>
      <c r="F225" s="3" t="s">
        <v>34</v>
      </c>
      <c r="G225" s="13">
        <v>1865</v>
      </c>
      <c r="H225" s="4">
        <v>3</v>
      </c>
      <c r="I225" s="4">
        <v>12</v>
      </c>
      <c r="J225" s="4">
        <f t="shared" si="25"/>
        <v>22380</v>
      </c>
      <c r="K225" s="4">
        <v>1119</v>
      </c>
      <c r="L225" s="4">
        <f t="shared" si="26"/>
        <v>21261</v>
      </c>
      <c r="M225" s="4">
        <v>5595</v>
      </c>
      <c r="N225" s="4">
        <f t="shared" si="27"/>
        <v>15666</v>
      </c>
      <c r="O225" s="16">
        <f t="shared" si="28"/>
        <v>0.73684210526315785</v>
      </c>
      <c r="P225" s="19">
        <v>41671</v>
      </c>
      <c r="Q225" s="5">
        <f t="shared" si="29"/>
        <v>2</v>
      </c>
      <c r="R225" s="3" t="str">
        <f t="shared" si="30"/>
        <v>February</v>
      </c>
      <c r="S225" s="6">
        <f t="shared" si="31"/>
        <v>2014</v>
      </c>
    </row>
    <row r="226" spans="1:19" ht="12.75" x14ac:dyDescent="0.2">
      <c r="A226" s="2" t="s">
        <v>24</v>
      </c>
      <c r="B226" s="2" t="str">
        <f t="shared" si="24"/>
        <v>Channel Partners</v>
      </c>
      <c r="C226" s="2" t="s">
        <v>19</v>
      </c>
      <c r="D226" s="2" t="str">
        <f>PROPER(Table1[[#This Row],[Country]])</f>
        <v>Germany</v>
      </c>
      <c r="E226" s="3" t="s">
        <v>17</v>
      </c>
      <c r="F226" s="3" t="s">
        <v>34</v>
      </c>
      <c r="G226" s="13">
        <v>1116</v>
      </c>
      <c r="H226" s="4">
        <v>3</v>
      </c>
      <c r="I226" s="4">
        <v>12</v>
      </c>
      <c r="J226" s="4">
        <f t="shared" si="25"/>
        <v>13392</v>
      </c>
      <c r="K226" s="4">
        <v>669.6</v>
      </c>
      <c r="L226" s="4">
        <f t="shared" si="26"/>
        <v>12722.4</v>
      </c>
      <c r="M226" s="4">
        <v>3348</v>
      </c>
      <c r="N226" s="4">
        <f t="shared" si="27"/>
        <v>9374.4</v>
      </c>
      <c r="O226" s="16">
        <f t="shared" si="28"/>
        <v>0.73684210526315785</v>
      </c>
      <c r="P226" s="19">
        <v>41671</v>
      </c>
      <c r="Q226" s="5">
        <f t="shared" si="29"/>
        <v>2</v>
      </c>
      <c r="R226" s="3" t="str">
        <f t="shared" si="30"/>
        <v>February</v>
      </c>
      <c r="S226" s="6">
        <f t="shared" si="31"/>
        <v>2014</v>
      </c>
    </row>
    <row r="227" spans="1:19" ht="12.75" x14ac:dyDescent="0.2">
      <c r="A227" s="2" t="s">
        <v>15</v>
      </c>
      <c r="B227" s="2" t="str">
        <f t="shared" si="24"/>
        <v>Government</v>
      </c>
      <c r="C227" s="2" t="s">
        <v>21</v>
      </c>
      <c r="D227" s="2" t="str">
        <f>PROPER(Table1[[#This Row],[Country]])</f>
        <v>France</v>
      </c>
      <c r="E227" s="3" t="s">
        <v>17</v>
      </c>
      <c r="F227" s="3" t="s">
        <v>34</v>
      </c>
      <c r="G227" s="13">
        <v>1563</v>
      </c>
      <c r="H227" s="4">
        <v>3</v>
      </c>
      <c r="I227" s="4">
        <v>20</v>
      </c>
      <c r="J227" s="4">
        <f t="shared" si="25"/>
        <v>31260</v>
      </c>
      <c r="K227" s="4">
        <v>1563</v>
      </c>
      <c r="L227" s="4">
        <f t="shared" si="26"/>
        <v>29697</v>
      </c>
      <c r="M227" s="4">
        <v>15630</v>
      </c>
      <c r="N227" s="4">
        <f t="shared" si="27"/>
        <v>14067</v>
      </c>
      <c r="O227" s="16">
        <f t="shared" si="28"/>
        <v>0.47368421052631576</v>
      </c>
      <c r="P227" s="19">
        <v>41760</v>
      </c>
      <c r="Q227" s="5">
        <f t="shared" si="29"/>
        <v>5</v>
      </c>
      <c r="R227" s="3" t="str">
        <f t="shared" si="30"/>
        <v>May</v>
      </c>
      <c r="S227" s="6">
        <f t="shared" si="31"/>
        <v>2014</v>
      </c>
    </row>
    <row r="228" spans="1:19" ht="12.75" x14ac:dyDescent="0.2">
      <c r="A228" s="2" t="s">
        <v>29</v>
      </c>
      <c r="B228" s="2" t="str">
        <f t="shared" si="24"/>
        <v>Small Business</v>
      </c>
      <c r="C228" s="2" t="s">
        <v>71</v>
      </c>
      <c r="D228" s="2" t="str">
        <f>PROPER(Table1[[#This Row],[Country]])</f>
        <v>Usa</v>
      </c>
      <c r="E228" s="3" t="s">
        <v>17</v>
      </c>
      <c r="F228" s="3" t="s">
        <v>34</v>
      </c>
      <c r="G228" s="13">
        <v>991</v>
      </c>
      <c r="H228" s="4">
        <v>3</v>
      </c>
      <c r="I228" s="4">
        <v>300</v>
      </c>
      <c r="J228" s="4">
        <f t="shared" si="25"/>
        <v>297300</v>
      </c>
      <c r="K228" s="4">
        <v>14865</v>
      </c>
      <c r="L228" s="4">
        <f t="shared" si="26"/>
        <v>282435</v>
      </c>
      <c r="M228" s="4">
        <v>247750</v>
      </c>
      <c r="N228" s="4">
        <f t="shared" si="27"/>
        <v>34685</v>
      </c>
      <c r="O228" s="16">
        <f t="shared" si="28"/>
        <v>0.12280701754385964</v>
      </c>
      <c r="P228" s="19">
        <v>41791</v>
      </c>
      <c r="Q228" s="5">
        <f t="shared" si="29"/>
        <v>6</v>
      </c>
      <c r="R228" s="3" t="str">
        <f t="shared" si="30"/>
        <v>June</v>
      </c>
      <c r="S228" s="6">
        <f t="shared" si="31"/>
        <v>2014</v>
      </c>
    </row>
    <row r="229" spans="1:19" ht="12.75" x14ac:dyDescent="0.2">
      <c r="A229" s="2" t="s">
        <v>15</v>
      </c>
      <c r="B229" s="2" t="str">
        <f t="shared" si="24"/>
        <v>Government</v>
      </c>
      <c r="C229" s="2" t="s">
        <v>19</v>
      </c>
      <c r="D229" s="2" t="str">
        <f>PROPER(Table1[[#This Row],[Country]])</f>
        <v>Germany</v>
      </c>
      <c r="E229" s="3" t="s">
        <v>17</v>
      </c>
      <c r="F229" s="3" t="s">
        <v>34</v>
      </c>
      <c r="G229" s="13">
        <v>1016</v>
      </c>
      <c r="H229" s="4">
        <v>3</v>
      </c>
      <c r="I229" s="4">
        <v>7</v>
      </c>
      <c r="J229" s="4">
        <f t="shared" si="25"/>
        <v>7112</v>
      </c>
      <c r="K229" s="4">
        <v>355.6</v>
      </c>
      <c r="L229" s="4">
        <f t="shared" si="26"/>
        <v>6756.4</v>
      </c>
      <c r="M229" s="4">
        <v>5080</v>
      </c>
      <c r="N229" s="4">
        <f t="shared" si="27"/>
        <v>1676.3999999999996</v>
      </c>
      <c r="O229" s="16">
        <f t="shared" si="28"/>
        <v>0.24812030075187966</v>
      </c>
      <c r="P229" s="19">
        <v>41579</v>
      </c>
      <c r="Q229" s="5">
        <f t="shared" si="29"/>
        <v>11</v>
      </c>
      <c r="R229" s="3" t="str">
        <f t="shared" si="30"/>
        <v>November</v>
      </c>
      <c r="S229" s="6">
        <f t="shared" si="31"/>
        <v>2013</v>
      </c>
    </row>
    <row r="230" spans="1:19" ht="12.75" x14ac:dyDescent="0.2">
      <c r="A230" s="2" t="s">
        <v>20</v>
      </c>
      <c r="B230" s="2" t="str">
        <f t="shared" si="24"/>
        <v>Midmarket</v>
      </c>
      <c r="C230" s="2" t="s">
        <v>22</v>
      </c>
      <c r="D230" s="2" t="str">
        <f>PROPER(Table1[[#This Row],[Country]])</f>
        <v>Mexico</v>
      </c>
      <c r="E230" s="3" t="s">
        <v>17</v>
      </c>
      <c r="F230" s="3" t="s">
        <v>34</v>
      </c>
      <c r="G230" s="13">
        <v>2791</v>
      </c>
      <c r="H230" s="4">
        <v>3</v>
      </c>
      <c r="I230" s="4">
        <v>15</v>
      </c>
      <c r="J230" s="4">
        <f t="shared" si="25"/>
        <v>41865</v>
      </c>
      <c r="K230" s="4">
        <v>2093.25</v>
      </c>
      <c r="L230" s="4">
        <f t="shared" si="26"/>
        <v>39771.75</v>
      </c>
      <c r="M230" s="4">
        <v>27910</v>
      </c>
      <c r="N230" s="4">
        <f t="shared" si="27"/>
        <v>11861.75</v>
      </c>
      <c r="O230" s="16">
        <f t="shared" si="28"/>
        <v>0.2982456140350877</v>
      </c>
      <c r="P230" s="19">
        <v>41944</v>
      </c>
      <c r="Q230" s="5">
        <f t="shared" si="29"/>
        <v>11</v>
      </c>
      <c r="R230" s="3" t="str">
        <f t="shared" si="30"/>
        <v>November</v>
      </c>
      <c r="S230" s="6">
        <f t="shared" si="31"/>
        <v>2014</v>
      </c>
    </row>
    <row r="231" spans="1:19" ht="12.75" x14ac:dyDescent="0.2">
      <c r="A231" s="2" t="s">
        <v>15</v>
      </c>
      <c r="B231" s="2" t="str">
        <f t="shared" si="24"/>
        <v>Government</v>
      </c>
      <c r="C231" s="2" t="s">
        <v>71</v>
      </c>
      <c r="D231" s="2" t="str">
        <f>PROPER(Table1[[#This Row],[Country]])</f>
        <v>Usa</v>
      </c>
      <c r="E231" s="3" t="s">
        <v>17</v>
      </c>
      <c r="F231" s="3" t="s">
        <v>34</v>
      </c>
      <c r="G231" s="13">
        <v>570</v>
      </c>
      <c r="H231" s="4">
        <v>3</v>
      </c>
      <c r="I231" s="4">
        <v>7</v>
      </c>
      <c r="J231" s="4">
        <f t="shared" si="25"/>
        <v>3990</v>
      </c>
      <c r="K231" s="4">
        <v>199.5</v>
      </c>
      <c r="L231" s="4">
        <f t="shared" si="26"/>
        <v>3790.5</v>
      </c>
      <c r="M231" s="4">
        <v>2850</v>
      </c>
      <c r="N231" s="4">
        <f t="shared" si="27"/>
        <v>940.5</v>
      </c>
      <c r="O231" s="16">
        <f t="shared" si="28"/>
        <v>0.24812030075187969</v>
      </c>
      <c r="P231" s="19">
        <v>41974</v>
      </c>
      <c r="Q231" s="5">
        <f t="shared" si="29"/>
        <v>12</v>
      </c>
      <c r="R231" s="3" t="str">
        <f t="shared" si="30"/>
        <v>December</v>
      </c>
      <c r="S231" s="6">
        <f t="shared" si="31"/>
        <v>2014</v>
      </c>
    </row>
    <row r="232" spans="1:19" ht="12.75" x14ac:dyDescent="0.2">
      <c r="A232" s="2" t="s">
        <v>15</v>
      </c>
      <c r="B232" s="2" t="str">
        <f t="shared" si="24"/>
        <v>Government</v>
      </c>
      <c r="C232" s="2" t="s">
        <v>21</v>
      </c>
      <c r="D232" s="2" t="str">
        <f>PROPER(Table1[[#This Row],[Country]])</f>
        <v>France</v>
      </c>
      <c r="E232" s="3" t="s">
        <v>17</v>
      </c>
      <c r="F232" s="3" t="s">
        <v>34</v>
      </c>
      <c r="G232" s="13">
        <v>2487</v>
      </c>
      <c r="H232" s="4">
        <v>3</v>
      </c>
      <c r="I232" s="4">
        <v>7</v>
      </c>
      <c r="J232" s="4">
        <f t="shared" si="25"/>
        <v>17409</v>
      </c>
      <c r="K232" s="4">
        <v>870.45</v>
      </c>
      <c r="L232" s="4">
        <f t="shared" si="26"/>
        <v>16538.55</v>
      </c>
      <c r="M232" s="4">
        <v>12435</v>
      </c>
      <c r="N232" s="4">
        <f t="shared" si="27"/>
        <v>4103.5499999999993</v>
      </c>
      <c r="O232" s="16">
        <f t="shared" si="28"/>
        <v>0.24812030075187966</v>
      </c>
      <c r="P232" s="19">
        <v>41974</v>
      </c>
      <c r="Q232" s="5">
        <f t="shared" si="29"/>
        <v>12</v>
      </c>
      <c r="R232" s="3" t="str">
        <f t="shared" si="30"/>
        <v>December</v>
      </c>
      <c r="S232" s="6">
        <f t="shared" si="31"/>
        <v>2014</v>
      </c>
    </row>
    <row r="233" spans="1:19" ht="12.75" x14ac:dyDescent="0.2">
      <c r="A233" s="2" t="s">
        <v>15</v>
      </c>
      <c r="B233" s="2" t="str">
        <f t="shared" si="24"/>
        <v>Government</v>
      </c>
      <c r="C233" s="2" t="s">
        <v>21</v>
      </c>
      <c r="D233" s="2" t="str">
        <f>PROPER(Table1[[#This Row],[Country]])</f>
        <v>France</v>
      </c>
      <c r="E233" s="3" t="s">
        <v>23</v>
      </c>
      <c r="F233" s="3" t="s">
        <v>34</v>
      </c>
      <c r="G233" s="13">
        <v>1384.5</v>
      </c>
      <c r="H233" s="4">
        <v>5</v>
      </c>
      <c r="I233" s="4">
        <v>350</v>
      </c>
      <c r="J233" s="4">
        <f t="shared" si="25"/>
        <v>484575</v>
      </c>
      <c r="K233" s="4">
        <v>24228.75</v>
      </c>
      <c r="L233" s="4">
        <f t="shared" si="26"/>
        <v>460346.25</v>
      </c>
      <c r="M233" s="4">
        <v>359970</v>
      </c>
      <c r="N233" s="4">
        <f t="shared" si="27"/>
        <v>100376.25</v>
      </c>
      <c r="O233" s="16">
        <f t="shared" si="28"/>
        <v>0.21804511278195488</v>
      </c>
      <c r="P233" s="19">
        <v>41640</v>
      </c>
      <c r="Q233" s="5">
        <f t="shared" si="29"/>
        <v>1</v>
      </c>
      <c r="R233" s="3" t="str">
        <f t="shared" si="30"/>
        <v>January</v>
      </c>
      <c r="S233" s="6">
        <f t="shared" si="31"/>
        <v>2014</v>
      </c>
    </row>
    <row r="234" spans="1:19" ht="12.75" x14ac:dyDescent="0.2">
      <c r="A234" s="2" t="s">
        <v>25</v>
      </c>
      <c r="B234" s="2" t="str">
        <f t="shared" si="24"/>
        <v>Enterprise</v>
      </c>
      <c r="C234" s="2" t="s">
        <v>71</v>
      </c>
      <c r="D234" s="2" t="str">
        <f>PROPER(Table1[[#This Row],[Country]])</f>
        <v>Usa</v>
      </c>
      <c r="E234" s="3" t="s">
        <v>23</v>
      </c>
      <c r="F234" s="3" t="s">
        <v>34</v>
      </c>
      <c r="G234" s="13">
        <v>3627</v>
      </c>
      <c r="H234" s="4">
        <v>5</v>
      </c>
      <c r="I234" s="4">
        <v>125</v>
      </c>
      <c r="J234" s="4">
        <f t="shared" si="25"/>
        <v>453375</v>
      </c>
      <c r="K234" s="4">
        <v>22668.75</v>
      </c>
      <c r="L234" s="4">
        <f t="shared" si="26"/>
        <v>430706.25</v>
      </c>
      <c r="M234" s="4">
        <v>435240</v>
      </c>
      <c r="N234" s="4">
        <f t="shared" si="27"/>
        <v>-4533.75</v>
      </c>
      <c r="O234" s="16">
        <f t="shared" si="28"/>
        <v>-1.0526315789473684E-2</v>
      </c>
      <c r="P234" s="19">
        <v>41821</v>
      </c>
      <c r="Q234" s="5">
        <f t="shared" si="29"/>
        <v>7</v>
      </c>
      <c r="R234" s="3" t="str">
        <f t="shared" si="30"/>
        <v>July</v>
      </c>
      <c r="S234" s="6">
        <f t="shared" si="31"/>
        <v>2014</v>
      </c>
    </row>
    <row r="235" spans="1:19" ht="12.75" x14ac:dyDescent="0.2">
      <c r="A235" s="2" t="s">
        <v>15</v>
      </c>
      <c r="B235" s="2" t="str">
        <f t="shared" si="24"/>
        <v>Government</v>
      </c>
      <c r="C235" s="2" t="s">
        <v>22</v>
      </c>
      <c r="D235" s="2" t="str">
        <f>PROPER(Table1[[#This Row],[Country]])</f>
        <v>Mexico</v>
      </c>
      <c r="E235" s="3" t="s">
        <v>23</v>
      </c>
      <c r="F235" s="3" t="s">
        <v>34</v>
      </c>
      <c r="G235" s="13">
        <v>720</v>
      </c>
      <c r="H235" s="4">
        <v>5</v>
      </c>
      <c r="I235" s="4">
        <v>350</v>
      </c>
      <c r="J235" s="4">
        <f t="shared" si="25"/>
        <v>252000</v>
      </c>
      <c r="K235" s="4">
        <v>12600</v>
      </c>
      <c r="L235" s="4">
        <f t="shared" si="26"/>
        <v>239400</v>
      </c>
      <c r="M235" s="4">
        <v>187200</v>
      </c>
      <c r="N235" s="4">
        <f t="shared" si="27"/>
        <v>52200</v>
      </c>
      <c r="O235" s="16">
        <f t="shared" si="28"/>
        <v>0.21804511278195488</v>
      </c>
      <c r="P235" s="19">
        <v>41518</v>
      </c>
      <c r="Q235" s="5">
        <f t="shared" si="29"/>
        <v>9</v>
      </c>
      <c r="R235" s="3" t="str">
        <f t="shared" si="30"/>
        <v>September</v>
      </c>
      <c r="S235" s="6">
        <f t="shared" si="31"/>
        <v>2013</v>
      </c>
    </row>
    <row r="236" spans="1:19" ht="12.75" x14ac:dyDescent="0.2">
      <c r="A236" s="2" t="s">
        <v>24</v>
      </c>
      <c r="B236" s="2" t="str">
        <f t="shared" si="24"/>
        <v>Channel Partners</v>
      </c>
      <c r="C236" s="2" t="s">
        <v>19</v>
      </c>
      <c r="D236" s="2" t="str">
        <f>PROPER(Table1[[#This Row],[Country]])</f>
        <v>Germany</v>
      </c>
      <c r="E236" s="3" t="s">
        <v>23</v>
      </c>
      <c r="F236" s="3" t="s">
        <v>34</v>
      </c>
      <c r="G236" s="13">
        <v>2342</v>
      </c>
      <c r="H236" s="4">
        <v>5</v>
      </c>
      <c r="I236" s="4">
        <v>12</v>
      </c>
      <c r="J236" s="4">
        <f t="shared" si="25"/>
        <v>28104</v>
      </c>
      <c r="K236" s="4">
        <v>1405.2</v>
      </c>
      <c r="L236" s="4">
        <f t="shared" si="26"/>
        <v>26698.799999999999</v>
      </c>
      <c r="M236" s="4">
        <v>7026</v>
      </c>
      <c r="N236" s="4">
        <f t="shared" si="27"/>
        <v>19672.8</v>
      </c>
      <c r="O236" s="16">
        <f t="shared" si="28"/>
        <v>0.73684210526315785</v>
      </c>
      <c r="P236" s="19">
        <v>41944</v>
      </c>
      <c r="Q236" s="5">
        <f t="shared" si="29"/>
        <v>11</v>
      </c>
      <c r="R236" s="3" t="str">
        <f t="shared" si="30"/>
        <v>November</v>
      </c>
      <c r="S236" s="6">
        <f t="shared" si="31"/>
        <v>2014</v>
      </c>
    </row>
    <row r="237" spans="1:19" ht="12.75" x14ac:dyDescent="0.2">
      <c r="A237" s="2" t="s">
        <v>29</v>
      </c>
      <c r="B237" s="2" t="str">
        <f t="shared" si="24"/>
        <v>Small Business</v>
      </c>
      <c r="C237" s="2" t="s">
        <v>22</v>
      </c>
      <c r="D237" s="2" t="str">
        <f>PROPER(Table1[[#This Row],[Country]])</f>
        <v>Mexico</v>
      </c>
      <c r="E237" s="3" t="s">
        <v>23</v>
      </c>
      <c r="F237" s="3" t="s">
        <v>34</v>
      </c>
      <c r="G237" s="13">
        <v>1100</v>
      </c>
      <c r="H237" s="4">
        <v>5</v>
      </c>
      <c r="I237" s="4">
        <v>300</v>
      </c>
      <c r="J237" s="4">
        <f t="shared" si="25"/>
        <v>330000</v>
      </c>
      <c r="K237" s="4">
        <v>16500</v>
      </c>
      <c r="L237" s="4">
        <f t="shared" si="26"/>
        <v>313500</v>
      </c>
      <c r="M237" s="4">
        <v>275000</v>
      </c>
      <c r="N237" s="4">
        <f t="shared" si="27"/>
        <v>38500</v>
      </c>
      <c r="O237" s="16">
        <f t="shared" si="28"/>
        <v>0.12280701754385964</v>
      </c>
      <c r="P237" s="19">
        <v>41609</v>
      </c>
      <c r="Q237" s="5">
        <f t="shared" si="29"/>
        <v>12</v>
      </c>
      <c r="R237" s="3" t="str">
        <f t="shared" si="30"/>
        <v>December</v>
      </c>
      <c r="S237" s="6">
        <f t="shared" si="31"/>
        <v>2013</v>
      </c>
    </row>
    <row r="238" spans="1:19" ht="12.75" x14ac:dyDescent="0.2">
      <c r="A238" s="2" t="s">
        <v>15</v>
      </c>
      <c r="B238" s="2" t="str">
        <f t="shared" si="24"/>
        <v>Government</v>
      </c>
      <c r="C238" s="2" t="s">
        <v>21</v>
      </c>
      <c r="D238" s="2" t="str">
        <f>PROPER(Table1[[#This Row],[Country]])</f>
        <v>France</v>
      </c>
      <c r="E238" s="3" t="s">
        <v>28</v>
      </c>
      <c r="F238" s="3" t="s">
        <v>34</v>
      </c>
      <c r="G238" s="13">
        <v>1303</v>
      </c>
      <c r="H238" s="4">
        <v>10</v>
      </c>
      <c r="I238" s="4">
        <v>20</v>
      </c>
      <c r="J238" s="4">
        <f t="shared" si="25"/>
        <v>26060</v>
      </c>
      <c r="K238" s="4">
        <v>1303</v>
      </c>
      <c r="L238" s="4">
        <f t="shared" si="26"/>
        <v>24757</v>
      </c>
      <c r="M238" s="4">
        <v>13030</v>
      </c>
      <c r="N238" s="4">
        <f t="shared" si="27"/>
        <v>11727</v>
      </c>
      <c r="O238" s="16">
        <f t="shared" si="28"/>
        <v>0.47368421052631576</v>
      </c>
      <c r="P238" s="19">
        <v>41671</v>
      </c>
      <c r="Q238" s="5">
        <f t="shared" si="29"/>
        <v>2</v>
      </c>
      <c r="R238" s="3" t="str">
        <f t="shared" si="30"/>
        <v>February</v>
      </c>
      <c r="S238" s="6">
        <f t="shared" si="31"/>
        <v>2014</v>
      </c>
    </row>
    <row r="239" spans="1:19" ht="12.75" x14ac:dyDescent="0.2">
      <c r="A239" s="2" t="s">
        <v>25</v>
      </c>
      <c r="B239" s="2" t="str">
        <f t="shared" si="24"/>
        <v>Enterprise</v>
      </c>
      <c r="C239" s="2" t="s">
        <v>71</v>
      </c>
      <c r="D239" s="2" t="str">
        <f>PROPER(Table1[[#This Row],[Country]])</f>
        <v>Usa</v>
      </c>
      <c r="E239" s="3" t="s">
        <v>28</v>
      </c>
      <c r="F239" s="3" t="s">
        <v>34</v>
      </c>
      <c r="G239" s="13">
        <v>2992</v>
      </c>
      <c r="H239" s="4">
        <v>10</v>
      </c>
      <c r="I239" s="4">
        <v>125</v>
      </c>
      <c r="J239" s="4">
        <f t="shared" si="25"/>
        <v>374000</v>
      </c>
      <c r="K239" s="4">
        <v>18700</v>
      </c>
      <c r="L239" s="4">
        <f t="shared" si="26"/>
        <v>355300</v>
      </c>
      <c r="M239" s="4">
        <v>359040</v>
      </c>
      <c r="N239" s="4">
        <f t="shared" si="27"/>
        <v>-3740</v>
      </c>
      <c r="O239" s="16">
        <f t="shared" si="28"/>
        <v>-1.0526315789473684E-2</v>
      </c>
      <c r="P239" s="19">
        <v>41699</v>
      </c>
      <c r="Q239" s="5">
        <f t="shared" si="29"/>
        <v>3</v>
      </c>
      <c r="R239" s="3" t="str">
        <f t="shared" si="30"/>
        <v>March</v>
      </c>
      <c r="S239" s="6">
        <f t="shared" si="31"/>
        <v>2014</v>
      </c>
    </row>
    <row r="240" spans="1:19" ht="12.75" x14ac:dyDescent="0.2">
      <c r="A240" s="2" t="s">
        <v>25</v>
      </c>
      <c r="B240" s="2" t="str">
        <f t="shared" si="24"/>
        <v>Enterprise</v>
      </c>
      <c r="C240" s="2" t="s">
        <v>21</v>
      </c>
      <c r="D240" s="2" t="str">
        <f>PROPER(Table1[[#This Row],[Country]])</f>
        <v>France</v>
      </c>
      <c r="E240" s="3" t="s">
        <v>28</v>
      </c>
      <c r="F240" s="3" t="s">
        <v>34</v>
      </c>
      <c r="G240" s="13">
        <v>2385</v>
      </c>
      <c r="H240" s="4">
        <v>10</v>
      </c>
      <c r="I240" s="4">
        <v>125</v>
      </c>
      <c r="J240" s="4">
        <f t="shared" si="25"/>
        <v>298125</v>
      </c>
      <c r="K240" s="4">
        <v>14906.25</v>
      </c>
      <c r="L240" s="4">
        <f t="shared" si="26"/>
        <v>283218.75</v>
      </c>
      <c r="M240" s="4">
        <v>286200</v>
      </c>
      <c r="N240" s="4">
        <f t="shared" si="27"/>
        <v>-2981.25</v>
      </c>
      <c r="O240" s="16">
        <f t="shared" si="28"/>
        <v>-1.0526315789473684E-2</v>
      </c>
      <c r="P240" s="19">
        <v>41699</v>
      </c>
      <c r="Q240" s="5">
        <f t="shared" si="29"/>
        <v>3</v>
      </c>
      <c r="R240" s="3" t="str">
        <f t="shared" si="30"/>
        <v>March</v>
      </c>
      <c r="S240" s="6">
        <f t="shared" si="31"/>
        <v>2014</v>
      </c>
    </row>
    <row r="241" spans="1:19" ht="12.75" x14ac:dyDescent="0.2">
      <c r="A241" s="2" t="s">
        <v>29</v>
      </c>
      <c r="B241" s="2" t="str">
        <f t="shared" si="24"/>
        <v>Small Business</v>
      </c>
      <c r="C241" s="2" t="s">
        <v>22</v>
      </c>
      <c r="D241" s="2" t="str">
        <f>PROPER(Table1[[#This Row],[Country]])</f>
        <v>Mexico</v>
      </c>
      <c r="E241" s="3" t="s">
        <v>28</v>
      </c>
      <c r="F241" s="3" t="s">
        <v>34</v>
      </c>
      <c r="G241" s="13">
        <v>1607</v>
      </c>
      <c r="H241" s="4">
        <v>10</v>
      </c>
      <c r="I241" s="4">
        <v>300</v>
      </c>
      <c r="J241" s="4">
        <f t="shared" si="25"/>
        <v>482100</v>
      </c>
      <c r="K241" s="4">
        <v>24105</v>
      </c>
      <c r="L241" s="4">
        <f t="shared" si="26"/>
        <v>457995</v>
      </c>
      <c r="M241" s="4">
        <v>401750</v>
      </c>
      <c r="N241" s="4">
        <f t="shared" si="27"/>
        <v>56245</v>
      </c>
      <c r="O241" s="16">
        <f t="shared" si="28"/>
        <v>0.12280701754385964</v>
      </c>
      <c r="P241" s="19">
        <v>41730</v>
      </c>
      <c r="Q241" s="5">
        <f t="shared" si="29"/>
        <v>4</v>
      </c>
      <c r="R241" s="3" t="str">
        <f t="shared" si="30"/>
        <v>April</v>
      </c>
      <c r="S241" s="6">
        <f t="shared" si="31"/>
        <v>2014</v>
      </c>
    </row>
    <row r="242" spans="1:19" ht="12.75" x14ac:dyDescent="0.2">
      <c r="A242" s="2" t="s">
        <v>15</v>
      </c>
      <c r="B242" s="2" t="str">
        <f t="shared" si="24"/>
        <v>Government</v>
      </c>
      <c r="C242" s="2" t="s">
        <v>71</v>
      </c>
      <c r="D242" s="2" t="str">
        <f>PROPER(Table1[[#This Row],[Country]])</f>
        <v>Usa</v>
      </c>
      <c r="E242" s="3" t="s">
        <v>28</v>
      </c>
      <c r="F242" s="3" t="s">
        <v>34</v>
      </c>
      <c r="G242" s="13">
        <v>2327</v>
      </c>
      <c r="H242" s="4">
        <v>10</v>
      </c>
      <c r="I242" s="4">
        <v>7</v>
      </c>
      <c r="J242" s="4">
        <f t="shared" si="25"/>
        <v>16289</v>
      </c>
      <c r="K242" s="4">
        <v>814.45</v>
      </c>
      <c r="L242" s="4">
        <f t="shared" si="26"/>
        <v>15474.55</v>
      </c>
      <c r="M242" s="4">
        <v>11635</v>
      </c>
      <c r="N242" s="4">
        <f t="shared" si="27"/>
        <v>3839.5499999999993</v>
      </c>
      <c r="O242" s="16">
        <f t="shared" si="28"/>
        <v>0.24812030075187966</v>
      </c>
      <c r="P242" s="19">
        <v>41760</v>
      </c>
      <c r="Q242" s="5">
        <f t="shared" si="29"/>
        <v>5</v>
      </c>
      <c r="R242" s="3" t="str">
        <f t="shared" si="30"/>
        <v>May</v>
      </c>
      <c r="S242" s="6">
        <f t="shared" si="31"/>
        <v>2014</v>
      </c>
    </row>
    <row r="243" spans="1:19" ht="12.75" x14ac:dyDescent="0.2">
      <c r="A243" s="2" t="s">
        <v>29</v>
      </c>
      <c r="B243" s="2" t="str">
        <f t="shared" si="24"/>
        <v>Small Business</v>
      </c>
      <c r="C243" s="2" t="s">
        <v>71</v>
      </c>
      <c r="D243" s="2" t="str">
        <f>PROPER(Table1[[#This Row],[Country]])</f>
        <v>Usa</v>
      </c>
      <c r="E243" s="3" t="s">
        <v>28</v>
      </c>
      <c r="F243" s="3" t="s">
        <v>34</v>
      </c>
      <c r="G243" s="13">
        <v>991</v>
      </c>
      <c r="H243" s="4">
        <v>10</v>
      </c>
      <c r="I243" s="4">
        <v>300</v>
      </c>
      <c r="J243" s="4">
        <f t="shared" si="25"/>
        <v>297300</v>
      </c>
      <c r="K243" s="4">
        <v>14865</v>
      </c>
      <c r="L243" s="4">
        <f t="shared" si="26"/>
        <v>282435</v>
      </c>
      <c r="M243" s="4">
        <v>247750</v>
      </c>
      <c r="N243" s="4">
        <f t="shared" si="27"/>
        <v>34685</v>
      </c>
      <c r="O243" s="16">
        <f t="shared" si="28"/>
        <v>0.12280701754385964</v>
      </c>
      <c r="P243" s="19">
        <v>41791</v>
      </c>
      <c r="Q243" s="5">
        <f t="shared" si="29"/>
        <v>6</v>
      </c>
      <c r="R243" s="3" t="str">
        <f t="shared" si="30"/>
        <v>June</v>
      </c>
      <c r="S243" s="6">
        <f t="shared" si="31"/>
        <v>2014</v>
      </c>
    </row>
    <row r="244" spans="1:19" ht="12.75" x14ac:dyDescent="0.2">
      <c r="A244" s="2" t="s">
        <v>15</v>
      </c>
      <c r="B244" s="2" t="str">
        <f t="shared" si="24"/>
        <v>Government</v>
      </c>
      <c r="C244" s="2" t="s">
        <v>71</v>
      </c>
      <c r="D244" s="2" t="str">
        <f>PROPER(Table1[[#This Row],[Country]])</f>
        <v>Usa</v>
      </c>
      <c r="E244" s="3" t="s">
        <v>28</v>
      </c>
      <c r="F244" s="3" t="s">
        <v>34</v>
      </c>
      <c r="G244" s="13">
        <v>602</v>
      </c>
      <c r="H244" s="4">
        <v>10</v>
      </c>
      <c r="I244" s="4">
        <v>350</v>
      </c>
      <c r="J244" s="4">
        <f t="shared" si="25"/>
        <v>210700</v>
      </c>
      <c r="K244" s="4">
        <v>10535</v>
      </c>
      <c r="L244" s="4">
        <f t="shared" si="26"/>
        <v>200165</v>
      </c>
      <c r="M244" s="4">
        <v>156520</v>
      </c>
      <c r="N244" s="4">
        <f t="shared" si="27"/>
        <v>43645</v>
      </c>
      <c r="O244" s="16">
        <f t="shared" si="28"/>
        <v>0.21804511278195488</v>
      </c>
      <c r="P244" s="19">
        <v>41791</v>
      </c>
      <c r="Q244" s="5">
        <f t="shared" si="29"/>
        <v>6</v>
      </c>
      <c r="R244" s="3" t="str">
        <f t="shared" si="30"/>
        <v>June</v>
      </c>
      <c r="S244" s="6">
        <f t="shared" si="31"/>
        <v>2014</v>
      </c>
    </row>
    <row r="245" spans="1:19" ht="12.75" x14ac:dyDescent="0.2">
      <c r="A245" s="2" t="s">
        <v>20</v>
      </c>
      <c r="B245" s="2" t="str">
        <f t="shared" si="24"/>
        <v>Midmarket</v>
      </c>
      <c r="C245" s="2" t="s">
        <v>21</v>
      </c>
      <c r="D245" s="2" t="str">
        <f>PROPER(Table1[[#This Row],[Country]])</f>
        <v>France</v>
      </c>
      <c r="E245" s="3" t="s">
        <v>28</v>
      </c>
      <c r="F245" s="3" t="s">
        <v>34</v>
      </c>
      <c r="G245" s="13">
        <v>2620</v>
      </c>
      <c r="H245" s="4">
        <v>10</v>
      </c>
      <c r="I245" s="4">
        <v>15</v>
      </c>
      <c r="J245" s="4">
        <f t="shared" si="25"/>
        <v>39300</v>
      </c>
      <c r="K245" s="4">
        <v>1965</v>
      </c>
      <c r="L245" s="4">
        <f t="shared" si="26"/>
        <v>37335</v>
      </c>
      <c r="M245" s="4">
        <v>26200</v>
      </c>
      <c r="N245" s="4">
        <f t="shared" si="27"/>
        <v>11135</v>
      </c>
      <c r="O245" s="16">
        <f t="shared" si="28"/>
        <v>0.2982456140350877</v>
      </c>
      <c r="P245" s="19">
        <v>41883</v>
      </c>
      <c r="Q245" s="5">
        <f t="shared" si="29"/>
        <v>9</v>
      </c>
      <c r="R245" s="3" t="str">
        <f t="shared" si="30"/>
        <v>September</v>
      </c>
      <c r="S245" s="6">
        <f t="shared" si="31"/>
        <v>2014</v>
      </c>
    </row>
    <row r="246" spans="1:19" ht="12.75" x14ac:dyDescent="0.2">
      <c r="A246" s="2" t="s">
        <v>15</v>
      </c>
      <c r="B246" s="2" t="str">
        <f t="shared" si="24"/>
        <v>Government</v>
      </c>
      <c r="C246" s="2" t="s">
        <v>16</v>
      </c>
      <c r="D246" s="2" t="str">
        <f>PROPER(Table1[[#This Row],[Country]])</f>
        <v>Canada</v>
      </c>
      <c r="E246" s="3" t="s">
        <v>28</v>
      </c>
      <c r="F246" s="3" t="s">
        <v>34</v>
      </c>
      <c r="G246" s="13">
        <v>1228</v>
      </c>
      <c r="H246" s="4">
        <v>10</v>
      </c>
      <c r="I246" s="4">
        <v>350</v>
      </c>
      <c r="J246" s="4">
        <f t="shared" si="25"/>
        <v>429800</v>
      </c>
      <c r="K246" s="4">
        <v>21490</v>
      </c>
      <c r="L246" s="4">
        <f t="shared" si="26"/>
        <v>408310</v>
      </c>
      <c r="M246" s="4">
        <v>319280</v>
      </c>
      <c r="N246" s="4">
        <f t="shared" si="27"/>
        <v>89030</v>
      </c>
      <c r="O246" s="16">
        <f t="shared" si="28"/>
        <v>0.21804511278195488</v>
      </c>
      <c r="P246" s="19">
        <v>41548</v>
      </c>
      <c r="Q246" s="5">
        <f t="shared" si="29"/>
        <v>10</v>
      </c>
      <c r="R246" s="3" t="str">
        <f t="shared" si="30"/>
        <v>October</v>
      </c>
      <c r="S246" s="6">
        <f t="shared" si="31"/>
        <v>2013</v>
      </c>
    </row>
    <row r="247" spans="1:19" ht="12.75" x14ac:dyDescent="0.2">
      <c r="A247" s="2" t="s">
        <v>15</v>
      </c>
      <c r="B247" s="2" t="str">
        <f t="shared" si="24"/>
        <v>Government</v>
      </c>
      <c r="C247" s="2" t="s">
        <v>16</v>
      </c>
      <c r="D247" s="2" t="str">
        <f>PROPER(Table1[[#This Row],[Country]])</f>
        <v>Canada</v>
      </c>
      <c r="E247" s="3" t="s">
        <v>28</v>
      </c>
      <c r="F247" s="3" t="s">
        <v>34</v>
      </c>
      <c r="G247" s="13">
        <v>1389</v>
      </c>
      <c r="H247" s="4">
        <v>10</v>
      </c>
      <c r="I247" s="4">
        <v>20</v>
      </c>
      <c r="J247" s="4">
        <f t="shared" si="25"/>
        <v>27780</v>
      </c>
      <c r="K247" s="4">
        <v>1389</v>
      </c>
      <c r="L247" s="4">
        <f t="shared" si="26"/>
        <v>26391</v>
      </c>
      <c r="M247" s="4">
        <v>13890</v>
      </c>
      <c r="N247" s="4">
        <f t="shared" si="27"/>
        <v>12501</v>
      </c>
      <c r="O247" s="16">
        <f t="shared" si="28"/>
        <v>0.47368421052631576</v>
      </c>
      <c r="P247" s="19">
        <v>41548</v>
      </c>
      <c r="Q247" s="5">
        <f t="shared" si="29"/>
        <v>10</v>
      </c>
      <c r="R247" s="3" t="str">
        <f t="shared" si="30"/>
        <v>October</v>
      </c>
      <c r="S247" s="6">
        <f t="shared" si="31"/>
        <v>2013</v>
      </c>
    </row>
    <row r="248" spans="1:19" ht="12.75" x14ac:dyDescent="0.2">
      <c r="A248" s="2" t="s">
        <v>25</v>
      </c>
      <c r="B248" s="2" t="str">
        <f t="shared" si="24"/>
        <v>Enterprise</v>
      </c>
      <c r="C248" s="2" t="s">
        <v>71</v>
      </c>
      <c r="D248" s="2" t="str">
        <f>PROPER(Table1[[#This Row],[Country]])</f>
        <v>Usa</v>
      </c>
      <c r="E248" s="3" t="s">
        <v>28</v>
      </c>
      <c r="F248" s="3" t="s">
        <v>34</v>
      </c>
      <c r="G248" s="13">
        <v>861</v>
      </c>
      <c r="H248" s="4">
        <v>10</v>
      </c>
      <c r="I248" s="4">
        <v>125</v>
      </c>
      <c r="J248" s="4">
        <f t="shared" si="25"/>
        <v>107625</v>
      </c>
      <c r="K248" s="4">
        <v>5381.25</v>
      </c>
      <c r="L248" s="4">
        <f t="shared" si="26"/>
        <v>102243.75</v>
      </c>
      <c r="M248" s="4">
        <v>103320</v>
      </c>
      <c r="N248" s="4">
        <f t="shared" si="27"/>
        <v>-1076.25</v>
      </c>
      <c r="O248" s="16">
        <f t="shared" si="28"/>
        <v>-1.0526315789473684E-2</v>
      </c>
      <c r="P248" s="19">
        <v>41913</v>
      </c>
      <c r="Q248" s="5">
        <f t="shared" si="29"/>
        <v>10</v>
      </c>
      <c r="R248" s="3" t="str">
        <f t="shared" si="30"/>
        <v>October</v>
      </c>
      <c r="S248" s="6">
        <f t="shared" si="31"/>
        <v>2014</v>
      </c>
    </row>
    <row r="249" spans="1:19" ht="12.75" x14ac:dyDescent="0.2">
      <c r="A249" s="2" t="s">
        <v>25</v>
      </c>
      <c r="B249" s="2" t="str">
        <f t="shared" si="24"/>
        <v>Enterprise</v>
      </c>
      <c r="C249" s="2" t="s">
        <v>21</v>
      </c>
      <c r="D249" s="2" t="str">
        <f>PROPER(Table1[[#This Row],[Country]])</f>
        <v>France</v>
      </c>
      <c r="E249" s="3" t="s">
        <v>28</v>
      </c>
      <c r="F249" s="3" t="s">
        <v>34</v>
      </c>
      <c r="G249" s="13">
        <v>704</v>
      </c>
      <c r="H249" s="4">
        <v>10</v>
      </c>
      <c r="I249" s="4">
        <v>125</v>
      </c>
      <c r="J249" s="4">
        <f t="shared" si="25"/>
        <v>88000</v>
      </c>
      <c r="K249" s="4">
        <v>4400</v>
      </c>
      <c r="L249" s="4">
        <f t="shared" si="26"/>
        <v>83600</v>
      </c>
      <c r="M249" s="4">
        <v>84480</v>
      </c>
      <c r="N249" s="4">
        <f t="shared" si="27"/>
        <v>-880</v>
      </c>
      <c r="O249" s="16">
        <f t="shared" si="28"/>
        <v>-1.0526315789473684E-2</v>
      </c>
      <c r="P249" s="19">
        <v>41548</v>
      </c>
      <c r="Q249" s="5">
        <f t="shared" si="29"/>
        <v>10</v>
      </c>
      <c r="R249" s="3" t="str">
        <f t="shared" si="30"/>
        <v>October</v>
      </c>
      <c r="S249" s="6">
        <f t="shared" si="31"/>
        <v>2013</v>
      </c>
    </row>
    <row r="250" spans="1:19" ht="12.75" x14ac:dyDescent="0.2">
      <c r="A250" s="2" t="s">
        <v>15</v>
      </c>
      <c r="B250" s="2" t="str">
        <f t="shared" si="24"/>
        <v>Government</v>
      </c>
      <c r="C250" s="2" t="s">
        <v>16</v>
      </c>
      <c r="D250" s="2" t="str">
        <f>PROPER(Table1[[#This Row],[Country]])</f>
        <v>Canada</v>
      </c>
      <c r="E250" s="3" t="s">
        <v>28</v>
      </c>
      <c r="F250" s="3" t="s">
        <v>34</v>
      </c>
      <c r="G250" s="13">
        <v>1802</v>
      </c>
      <c r="H250" s="4">
        <v>10</v>
      </c>
      <c r="I250" s="4">
        <v>20</v>
      </c>
      <c r="J250" s="4">
        <f t="shared" si="25"/>
        <v>36040</v>
      </c>
      <c r="K250" s="4">
        <v>1802</v>
      </c>
      <c r="L250" s="4">
        <f t="shared" si="26"/>
        <v>34238</v>
      </c>
      <c r="M250" s="4">
        <v>18020</v>
      </c>
      <c r="N250" s="4">
        <f t="shared" si="27"/>
        <v>16218</v>
      </c>
      <c r="O250" s="16">
        <f t="shared" si="28"/>
        <v>0.47368421052631576</v>
      </c>
      <c r="P250" s="19">
        <v>41609</v>
      </c>
      <c r="Q250" s="5">
        <f t="shared" si="29"/>
        <v>12</v>
      </c>
      <c r="R250" s="3" t="str">
        <f t="shared" si="30"/>
        <v>December</v>
      </c>
      <c r="S250" s="6">
        <f t="shared" si="31"/>
        <v>2013</v>
      </c>
    </row>
    <row r="251" spans="1:19" ht="12.75" x14ac:dyDescent="0.2">
      <c r="A251" s="2" t="s">
        <v>15</v>
      </c>
      <c r="B251" s="2" t="str">
        <f t="shared" si="24"/>
        <v>Government</v>
      </c>
      <c r="C251" s="2" t="s">
        <v>71</v>
      </c>
      <c r="D251" s="2" t="str">
        <f>PROPER(Table1[[#This Row],[Country]])</f>
        <v>Usa</v>
      </c>
      <c r="E251" s="3" t="s">
        <v>28</v>
      </c>
      <c r="F251" s="3" t="s">
        <v>34</v>
      </c>
      <c r="G251" s="13">
        <v>2663</v>
      </c>
      <c r="H251" s="4">
        <v>10</v>
      </c>
      <c r="I251" s="4">
        <v>20</v>
      </c>
      <c r="J251" s="4">
        <f t="shared" si="25"/>
        <v>53260</v>
      </c>
      <c r="K251" s="4">
        <v>2663</v>
      </c>
      <c r="L251" s="4">
        <f t="shared" si="26"/>
        <v>50597</v>
      </c>
      <c r="M251" s="4">
        <v>26630</v>
      </c>
      <c r="N251" s="4">
        <f t="shared" si="27"/>
        <v>23967</v>
      </c>
      <c r="O251" s="16">
        <f t="shared" si="28"/>
        <v>0.47368421052631576</v>
      </c>
      <c r="P251" s="19">
        <v>41974</v>
      </c>
      <c r="Q251" s="5">
        <f t="shared" si="29"/>
        <v>12</v>
      </c>
      <c r="R251" s="3" t="str">
        <f t="shared" si="30"/>
        <v>December</v>
      </c>
      <c r="S251" s="6">
        <f t="shared" si="31"/>
        <v>2014</v>
      </c>
    </row>
    <row r="252" spans="1:19" ht="12.75" x14ac:dyDescent="0.2">
      <c r="A252" s="2" t="s">
        <v>15</v>
      </c>
      <c r="B252" s="2" t="str">
        <f t="shared" si="24"/>
        <v>Government</v>
      </c>
      <c r="C252" s="2" t="s">
        <v>21</v>
      </c>
      <c r="D252" s="2" t="str">
        <f>PROPER(Table1[[#This Row],[Country]])</f>
        <v>France</v>
      </c>
      <c r="E252" s="3" t="s">
        <v>28</v>
      </c>
      <c r="F252" s="3" t="s">
        <v>34</v>
      </c>
      <c r="G252" s="13">
        <v>2136</v>
      </c>
      <c r="H252" s="4">
        <v>10</v>
      </c>
      <c r="I252" s="4">
        <v>7</v>
      </c>
      <c r="J252" s="4">
        <f t="shared" si="25"/>
        <v>14952</v>
      </c>
      <c r="K252" s="4">
        <v>747.6</v>
      </c>
      <c r="L252" s="4">
        <f t="shared" si="26"/>
        <v>14204.4</v>
      </c>
      <c r="M252" s="4">
        <v>10680</v>
      </c>
      <c r="N252" s="4">
        <f t="shared" si="27"/>
        <v>3524.3999999999996</v>
      </c>
      <c r="O252" s="16">
        <f t="shared" si="28"/>
        <v>0.24812030075187969</v>
      </c>
      <c r="P252" s="19">
        <v>41609</v>
      </c>
      <c r="Q252" s="5">
        <f t="shared" si="29"/>
        <v>12</v>
      </c>
      <c r="R252" s="3" t="str">
        <f t="shared" si="30"/>
        <v>December</v>
      </c>
      <c r="S252" s="6">
        <f t="shared" si="31"/>
        <v>2013</v>
      </c>
    </row>
    <row r="253" spans="1:19" ht="12.75" x14ac:dyDescent="0.2">
      <c r="A253" s="2" t="s">
        <v>20</v>
      </c>
      <c r="B253" s="2" t="str">
        <f t="shared" si="24"/>
        <v>Midmarket</v>
      </c>
      <c r="C253" s="2" t="s">
        <v>19</v>
      </c>
      <c r="D253" s="2" t="str">
        <f>PROPER(Table1[[#This Row],[Country]])</f>
        <v>Germany</v>
      </c>
      <c r="E253" s="3" t="s">
        <v>28</v>
      </c>
      <c r="F253" s="3" t="s">
        <v>34</v>
      </c>
      <c r="G253" s="13">
        <v>2116</v>
      </c>
      <c r="H253" s="4">
        <v>10</v>
      </c>
      <c r="I253" s="4">
        <v>15</v>
      </c>
      <c r="J253" s="4">
        <f t="shared" si="25"/>
        <v>31740</v>
      </c>
      <c r="K253" s="4">
        <v>1587</v>
      </c>
      <c r="L253" s="4">
        <f t="shared" si="26"/>
        <v>30153</v>
      </c>
      <c r="M253" s="4">
        <v>21160</v>
      </c>
      <c r="N253" s="4">
        <f t="shared" si="27"/>
        <v>8993</v>
      </c>
      <c r="O253" s="16">
        <f t="shared" si="28"/>
        <v>0.2982456140350877</v>
      </c>
      <c r="P253" s="19">
        <v>41609</v>
      </c>
      <c r="Q253" s="5">
        <f t="shared" si="29"/>
        <v>12</v>
      </c>
      <c r="R253" s="3" t="str">
        <f t="shared" si="30"/>
        <v>December</v>
      </c>
      <c r="S253" s="6">
        <f t="shared" si="31"/>
        <v>2013</v>
      </c>
    </row>
    <row r="254" spans="1:19" ht="12.75" x14ac:dyDescent="0.2">
      <c r="A254" s="2" t="s">
        <v>20</v>
      </c>
      <c r="B254" s="2" t="str">
        <f t="shared" si="24"/>
        <v>Midmarket</v>
      </c>
      <c r="C254" s="2" t="s">
        <v>71</v>
      </c>
      <c r="D254" s="2" t="str">
        <f>PROPER(Table1[[#This Row],[Country]])</f>
        <v>Usa</v>
      </c>
      <c r="E254" s="3" t="s">
        <v>30</v>
      </c>
      <c r="F254" s="3" t="s">
        <v>34</v>
      </c>
      <c r="G254" s="13">
        <v>555</v>
      </c>
      <c r="H254" s="4">
        <v>120</v>
      </c>
      <c r="I254" s="4">
        <v>15</v>
      </c>
      <c r="J254" s="4">
        <f t="shared" si="25"/>
        <v>8325</v>
      </c>
      <c r="K254" s="4">
        <v>416.25</v>
      </c>
      <c r="L254" s="4">
        <f t="shared" si="26"/>
        <v>7908.75</v>
      </c>
      <c r="M254" s="4">
        <v>5550</v>
      </c>
      <c r="N254" s="4">
        <f t="shared" si="27"/>
        <v>2358.75</v>
      </c>
      <c r="O254" s="16">
        <f t="shared" si="28"/>
        <v>0.2982456140350877</v>
      </c>
      <c r="P254" s="19">
        <v>41640</v>
      </c>
      <c r="Q254" s="5">
        <f t="shared" si="29"/>
        <v>1</v>
      </c>
      <c r="R254" s="3" t="str">
        <f t="shared" si="30"/>
        <v>January</v>
      </c>
      <c r="S254" s="6">
        <f t="shared" si="31"/>
        <v>2014</v>
      </c>
    </row>
    <row r="255" spans="1:19" ht="12.75" x14ac:dyDescent="0.2">
      <c r="A255" s="2" t="s">
        <v>20</v>
      </c>
      <c r="B255" s="2" t="str">
        <f t="shared" si="24"/>
        <v>Midmarket</v>
      </c>
      <c r="C255" s="2" t="s">
        <v>22</v>
      </c>
      <c r="D255" s="2" t="str">
        <f>PROPER(Table1[[#This Row],[Country]])</f>
        <v>Mexico</v>
      </c>
      <c r="E255" s="3" t="s">
        <v>30</v>
      </c>
      <c r="F255" s="3" t="s">
        <v>34</v>
      </c>
      <c r="G255" s="13">
        <v>2861</v>
      </c>
      <c r="H255" s="4">
        <v>120</v>
      </c>
      <c r="I255" s="4">
        <v>15</v>
      </c>
      <c r="J255" s="4">
        <f t="shared" si="25"/>
        <v>42915</v>
      </c>
      <c r="K255" s="4">
        <v>2145.75</v>
      </c>
      <c r="L255" s="4">
        <f t="shared" si="26"/>
        <v>40769.25</v>
      </c>
      <c r="M255" s="4">
        <v>28610</v>
      </c>
      <c r="N255" s="4">
        <f t="shared" si="27"/>
        <v>12159.25</v>
      </c>
      <c r="O255" s="16">
        <f t="shared" si="28"/>
        <v>0.2982456140350877</v>
      </c>
      <c r="P255" s="19">
        <v>41640</v>
      </c>
      <c r="Q255" s="5">
        <f t="shared" si="29"/>
        <v>1</v>
      </c>
      <c r="R255" s="3" t="str">
        <f t="shared" si="30"/>
        <v>January</v>
      </c>
      <c r="S255" s="6">
        <f t="shared" si="31"/>
        <v>2014</v>
      </c>
    </row>
    <row r="256" spans="1:19" ht="12.75" x14ac:dyDescent="0.2">
      <c r="A256" s="2" t="s">
        <v>25</v>
      </c>
      <c r="B256" s="2" t="str">
        <f t="shared" si="24"/>
        <v>Enterprise</v>
      </c>
      <c r="C256" s="2" t="s">
        <v>19</v>
      </c>
      <c r="D256" s="2" t="str">
        <f>PROPER(Table1[[#This Row],[Country]])</f>
        <v>Germany</v>
      </c>
      <c r="E256" s="3" t="s">
        <v>30</v>
      </c>
      <c r="F256" s="3" t="s">
        <v>34</v>
      </c>
      <c r="G256" s="13">
        <v>807</v>
      </c>
      <c r="H256" s="4">
        <v>120</v>
      </c>
      <c r="I256" s="4">
        <v>125</v>
      </c>
      <c r="J256" s="4">
        <f t="shared" si="25"/>
        <v>100875</v>
      </c>
      <c r="K256" s="4">
        <v>5043.75</v>
      </c>
      <c r="L256" s="4">
        <f t="shared" si="26"/>
        <v>95831.25</v>
      </c>
      <c r="M256" s="4">
        <v>96840</v>
      </c>
      <c r="N256" s="4">
        <f t="shared" si="27"/>
        <v>-1008.75</v>
      </c>
      <c r="O256" s="16">
        <f t="shared" si="28"/>
        <v>-1.0526315789473684E-2</v>
      </c>
      <c r="P256" s="19">
        <v>41671</v>
      </c>
      <c r="Q256" s="5">
        <f t="shared" si="29"/>
        <v>2</v>
      </c>
      <c r="R256" s="3" t="str">
        <f t="shared" si="30"/>
        <v>February</v>
      </c>
      <c r="S256" s="6">
        <f t="shared" si="31"/>
        <v>2014</v>
      </c>
    </row>
    <row r="257" spans="1:19" ht="12.75" x14ac:dyDescent="0.2">
      <c r="A257" s="2" t="s">
        <v>15</v>
      </c>
      <c r="B257" s="2" t="str">
        <f t="shared" si="24"/>
        <v>Government</v>
      </c>
      <c r="C257" s="2" t="s">
        <v>71</v>
      </c>
      <c r="D257" s="2" t="str">
        <f>PROPER(Table1[[#This Row],[Country]])</f>
        <v>Usa</v>
      </c>
      <c r="E257" s="3" t="s">
        <v>30</v>
      </c>
      <c r="F257" s="3" t="s">
        <v>34</v>
      </c>
      <c r="G257" s="13">
        <v>602</v>
      </c>
      <c r="H257" s="4">
        <v>120</v>
      </c>
      <c r="I257" s="4">
        <v>350</v>
      </c>
      <c r="J257" s="4">
        <f t="shared" si="25"/>
        <v>210700</v>
      </c>
      <c r="K257" s="4">
        <v>10535</v>
      </c>
      <c r="L257" s="4">
        <f t="shared" si="26"/>
        <v>200165</v>
      </c>
      <c r="M257" s="4">
        <v>156520</v>
      </c>
      <c r="N257" s="4">
        <f t="shared" si="27"/>
        <v>43645</v>
      </c>
      <c r="O257" s="16">
        <f t="shared" si="28"/>
        <v>0.21804511278195488</v>
      </c>
      <c r="P257" s="19">
        <v>41791</v>
      </c>
      <c r="Q257" s="5">
        <f t="shared" si="29"/>
        <v>6</v>
      </c>
      <c r="R257" s="3" t="str">
        <f t="shared" si="30"/>
        <v>June</v>
      </c>
      <c r="S257" s="6">
        <f t="shared" si="31"/>
        <v>2014</v>
      </c>
    </row>
    <row r="258" spans="1:19" ht="12.75" x14ac:dyDescent="0.2">
      <c r="A258" s="2" t="s">
        <v>15</v>
      </c>
      <c r="B258" s="2" t="str">
        <f t="shared" ref="B258:B321" si="32">PROPER(A258)</f>
        <v>Government</v>
      </c>
      <c r="C258" s="2" t="s">
        <v>71</v>
      </c>
      <c r="D258" s="2" t="str">
        <f>PROPER(Table1[[#This Row],[Country]])</f>
        <v>Usa</v>
      </c>
      <c r="E258" s="3" t="s">
        <v>30</v>
      </c>
      <c r="F258" s="3" t="s">
        <v>34</v>
      </c>
      <c r="G258" s="13">
        <v>2832</v>
      </c>
      <c r="H258" s="4">
        <v>120</v>
      </c>
      <c r="I258" s="4">
        <v>20</v>
      </c>
      <c r="J258" s="4">
        <f t="shared" si="25"/>
        <v>56640</v>
      </c>
      <c r="K258" s="4">
        <v>2832</v>
      </c>
      <c r="L258" s="4">
        <f t="shared" si="26"/>
        <v>53808</v>
      </c>
      <c r="M258" s="4">
        <v>28320</v>
      </c>
      <c r="N258" s="4">
        <f t="shared" si="27"/>
        <v>25488</v>
      </c>
      <c r="O258" s="16">
        <f t="shared" si="28"/>
        <v>0.47368421052631576</v>
      </c>
      <c r="P258" s="19">
        <v>41852</v>
      </c>
      <c r="Q258" s="5">
        <f t="shared" si="29"/>
        <v>8</v>
      </c>
      <c r="R258" s="3" t="str">
        <f t="shared" si="30"/>
        <v>August</v>
      </c>
      <c r="S258" s="6">
        <f t="shared" si="31"/>
        <v>2014</v>
      </c>
    </row>
    <row r="259" spans="1:19" ht="12.75" x14ac:dyDescent="0.2">
      <c r="A259" s="2" t="s">
        <v>15</v>
      </c>
      <c r="B259" s="2" t="str">
        <f t="shared" si="32"/>
        <v>Government</v>
      </c>
      <c r="C259" s="2" t="s">
        <v>21</v>
      </c>
      <c r="D259" s="2" t="str">
        <f>PROPER(Table1[[#This Row],[Country]])</f>
        <v>France</v>
      </c>
      <c r="E259" s="3" t="s">
        <v>30</v>
      </c>
      <c r="F259" s="3" t="s">
        <v>34</v>
      </c>
      <c r="G259" s="13">
        <v>1579</v>
      </c>
      <c r="H259" s="4">
        <v>120</v>
      </c>
      <c r="I259" s="4">
        <v>20</v>
      </c>
      <c r="J259" s="4">
        <f t="shared" ref="J259:J322" si="33">G259*I259</f>
        <v>31580</v>
      </c>
      <c r="K259" s="4">
        <v>1579</v>
      </c>
      <c r="L259" s="4">
        <f t="shared" ref="L259:L322" si="34">J259-K259</f>
        <v>30001</v>
      </c>
      <c r="M259" s="4">
        <v>15790</v>
      </c>
      <c r="N259" s="4">
        <f t="shared" ref="N259:N322" si="35">L259-M259</f>
        <v>14211</v>
      </c>
      <c r="O259" s="16">
        <f t="shared" ref="O259:O322" si="36">N259/L259</f>
        <v>0.47368421052631576</v>
      </c>
      <c r="P259" s="19">
        <v>41852</v>
      </c>
      <c r="Q259" s="5">
        <f t="shared" ref="Q259:Q322" si="37">MONTH(P259)</f>
        <v>8</v>
      </c>
      <c r="R259" s="3" t="str">
        <f t="shared" ref="R259:R322" si="38">TEXT(P259,"mmmm")</f>
        <v>August</v>
      </c>
      <c r="S259" s="6">
        <f t="shared" ref="S259:S322" si="39">YEAR(P259)</f>
        <v>2014</v>
      </c>
    </row>
    <row r="260" spans="1:19" ht="12.75" x14ac:dyDescent="0.2">
      <c r="A260" s="2" t="s">
        <v>25</v>
      </c>
      <c r="B260" s="2" t="str">
        <f t="shared" si="32"/>
        <v>Enterprise</v>
      </c>
      <c r="C260" s="2" t="s">
        <v>71</v>
      </c>
      <c r="D260" s="2" t="str">
        <f>PROPER(Table1[[#This Row],[Country]])</f>
        <v>Usa</v>
      </c>
      <c r="E260" s="3" t="s">
        <v>30</v>
      </c>
      <c r="F260" s="3" t="s">
        <v>34</v>
      </c>
      <c r="G260" s="13">
        <v>861</v>
      </c>
      <c r="H260" s="4">
        <v>120</v>
      </c>
      <c r="I260" s="4">
        <v>125</v>
      </c>
      <c r="J260" s="4">
        <f t="shared" si="33"/>
        <v>107625</v>
      </c>
      <c r="K260" s="4">
        <v>5381.25</v>
      </c>
      <c r="L260" s="4">
        <f t="shared" si="34"/>
        <v>102243.75</v>
      </c>
      <c r="M260" s="4">
        <v>103320</v>
      </c>
      <c r="N260" s="4">
        <f t="shared" si="35"/>
        <v>-1076.25</v>
      </c>
      <c r="O260" s="16">
        <f t="shared" si="36"/>
        <v>-1.0526315789473684E-2</v>
      </c>
      <c r="P260" s="19">
        <v>41913</v>
      </c>
      <c r="Q260" s="5">
        <f t="shared" si="37"/>
        <v>10</v>
      </c>
      <c r="R260" s="3" t="str">
        <f t="shared" si="38"/>
        <v>October</v>
      </c>
      <c r="S260" s="6">
        <f t="shared" si="39"/>
        <v>2014</v>
      </c>
    </row>
    <row r="261" spans="1:19" ht="12.75" x14ac:dyDescent="0.2">
      <c r="A261" s="2" t="s">
        <v>25</v>
      </c>
      <c r="B261" s="2" t="str">
        <f t="shared" si="32"/>
        <v>Enterprise</v>
      </c>
      <c r="C261" s="2" t="s">
        <v>21</v>
      </c>
      <c r="D261" s="2" t="str">
        <f>PROPER(Table1[[#This Row],[Country]])</f>
        <v>France</v>
      </c>
      <c r="E261" s="3" t="s">
        <v>30</v>
      </c>
      <c r="F261" s="3" t="s">
        <v>34</v>
      </c>
      <c r="G261" s="13">
        <v>704</v>
      </c>
      <c r="H261" s="4">
        <v>120</v>
      </c>
      <c r="I261" s="4">
        <v>125</v>
      </c>
      <c r="J261" s="4">
        <f t="shared" si="33"/>
        <v>88000</v>
      </c>
      <c r="K261" s="4">
        <v>4400</v>
      </c>
      <c r="L261" s="4">
        <f t="shared" si="34"/>
        <v>83600</v>
      </c>
      <c r="M261" s="4">
        <v>84480</v>
      </c>
      <c r="N261" s="4">
        <f t="shared" si="35"/>
        <v>-880</v>
      </c>
      <c r="O261" s="16">
        <f t="shared" si="36"/>
        <v>-1.0526315789473684E-2</v>
      </c>
      <c r="P261" s="19">
        <v>41548</v>
      </c>
      <c r="Q261" s="5">
        <f t="shared" si="37"/>
        <v>10</v>
      </c>
      <c r="R261" s="3" t="str">
        <f t="shared" si="38"/>
        <v>October</v>
      </c>
      <c r="S261" s="6">
        <f t="shared" si="39"/>
        <v>2013</v>
      </c>
    </row>
    <row r="262" spans="1:19" ht="12.75" x14ac:dyDescent="0.2">
      <c r="A262" s="2" t="s">
        <v>15</v>
      </c>
      <c r="B262" s="2" t="str">
        <f t="shared" si="32"/>
        <v>Government</v>
      </c>
      <c r="C262" s="2" t="s">
        <v>21</v>
      </c>
      <c r="D262" s="2" t="str">
        <f>PROPER(Table1[[#This Row],[Country]])</f>
        <v>France</v>
      </c>
      <c r="E262" s="3" t="s">
        <v>30</v>
      </c>
      <c r="F262" s="3" t="s">
        <v>34</v>
      </c>
      <c r="G262" s="13">
        <v>1033</v>
      </c>
      <c r="H262" s="4">
        <v>120</v>
      </c>
      <c r="I262" s="4">
        <v>20</v>
      </c>
      <c r="J262" s="4">
        <f t="shared" si="33"/>
        <v>20660</v>
      </c>
      <c r="K262" s="4">
        <v>1033</v>
      </c>
      <c r="L262" s="4">
        <f t="shared" si="34"/>
        <v>19627</v>
      </c>
      <c r="M262" s="4">
        <v>10330</v>
      </c>
      <c r="N262" s="4">
        <f t="shared" si="35"/>
        <v>9297</v>
      </c>
      <c r="O262" s="16">
        <f t="shared" si="36"/>
        <v>0.47368421052631576</v>
      </c>
      <c r="P262" s="19">
        <v>41609</v>
      </c>
      <c r="Q262" s="5">
        <f t="shared" si="37"/>
        <v>12</v>
      </c>
      <c r="R262" s="3" t="str">
        <f t="shared" si="38"/>
        <v>December</v>
      </c>
      <c r="S262" s="6">
        <f t="shared" si="39"/>
        <v>2013</v>
      </c>
    </row>
    <row r="263" spans="1:19" ht="12.75" x14ac:dyDescent="0.2">
      <c r="A263" s="2" t="s">
        <v>29</v>
      </c>
      <c r="B263" s="2" t="str">
        <f t="shared" si="32"/>
        <v>Small Business</v>
      </c>
      <c r="C263" s="2" t="s">
        <v>19</v>
      </c>
      <c r="D263" s="2" t="str">
        <f>PROPER(Table1[[#This Row],[Country]])</f>
        <v>Germany</v>
      </c>
      <c r="E263" s="3" t="s">
        <v>30</v>
      </c>
      <c r="F263" s="3" t="s">
        <v>34</v>
      </c>
      <c r="G263" s="13">
        <v>1250</v>
      </c>
      <c r="H263" s="4">
        <v>120</v>
      </c>
      <c r="I263" s="4">
        <v>300</v>
      </c>
      <c r="J263" s="4">
        <f t="shared" si="33"/>
        <v>375000</v>
      </c>
      <c r="K263" s="4">
        <v>18750</v>
      </c>
      <c r="L263" s="4">
        <f t="shared" si="34"/>
        <v>356250</v>
      </c>
      <c r="M263" s="4">
        <v>312500</v>
      </c>
      <c r="N263" s="4">
        <f t="shared" si="35"/>
        <v>43750</v>
      </c>
      <c r="O263" s="16">
        <f t="shared" si="36"/>
        <v>0.12280701754385964</v>
      </c>
      <c r="P263" s="19">
        <v>41974</v>
      </c>
      <c r="Q263" s="5">
        <f t="shared" si="37"/>
        <v>12</v>
      </c>
      <c r="R263" s="3" t="str">
        <f t="shared" si="38"/>
        <v>December</v>
      </c>
      <c r="S263" s="6">
        <f t="shared" si="39"/>
        <v>2014</v>
      </c>
    </row>
    <row r="264" spans="1:19" ht="12.75" x14ac:dyDescent="0.2">
      <c r="A264" s="2" t="s">
        <v>15</v>
      </c>
      <c r="B264" s="2" t="str">
        <f t="shared" si="32"/>
        <v>Government</v>
      </c>
      <c r="C264" s="2" t="s">
        <v>16</v>
      </c>
      <c r="D264" s="2" t="str">
        <f>PROPER(Table1[[#This Row],[Country]])</f>
        <v>Canada</v>
      </c>
      <c r="E264" s="3" t="s">
        <v>31</v>
      </c>
      <c r="F264" s="3" t="s">
        <v>34</v>
      </c>
      <c r="G264" s="13">
        <v>1389</v>
      </c>
      <c r="H264" s="4">
        <v>250</v>
      </c>
      <c r="I264" s="4">
        <v>20</v>
      </c>
      <c r="J264" s="4">
        <f t="shared" si="33"/>
        <v>27780</v>
      </c>
      <c r="K264" s="4">
        <v>1389</v>
      </c>
      <c r="L264" s="4">
        <f t="shared" si="34"/>
        <v>26391</v>
      </c>
      <c r="M264" s="4">
        <v>13890</v>
      </c>
      <c r="N264" s="4">
        <f t="shared" si="35"/>
        <v>12501</v>
      </c>
      <c r="O264" s="16">
        <f t="shared" si="36"/>
        <v>0.47368421052631576</v>
      </c>
      <c r="P264" s="19">
        <v>41548</v>
      </c>
      <c r="Q264" s="5">
        <f t="shared" si="37"/>
        <v>10</v>
      </c>
      <c r="R264" s="3" t="str">
        <f t="shared" si="38"/>
        <v>October</v>
      </c>
      <c r="S264" s="6">
        <f t="shared" si="39"/>
        <v>2013</v>
      </c>
    </row>
    <row r="265" spans="1:19" ht="12.75" x14ac:dyDescent="0.2">
      <c r="A265" s="2" t="s">
        <v>15</v>
      </c>
      <c r="B265" s="2" t="str">
        <f t="shared" si="32"/>
        <v>Government</v>
      </c>
      <c r="C265" s="2" t="s">
        <v>71</v>
      </c>
      <c r="D265" s="2" t="str">
        <f>PROPER(Table1[[#This Row],[Country]])</f>
        <v>Usa</v>
      </c>
      <c r="E265" s="3" t="s">
        <v>31</v>
      </c>
      <c r="F265" s="3" t="s">
        <v>34</v>
      </c>
      <c r="G265" s="13">
        <v>1265</v>
      </c>
      <c r="H265" s="4">
        <v>250</v>
      </c>
      <c r="I265" s="4">
        <v>20</v>
      </c>
      <c r="J265" s="4">
        <f t="shared" si="33"/>
        <v>25300</v>
      </c>
      <c r="K265" s="4">
        <v>1265</v>
      </c>
      <c r="L265" s="4">
        <f t="shared" si="34"/>
        <v>24035</v>
      </c>
      <c r="M265" s="4">
        <v>12650</v>
      </c>
      <c r="N265" s="4">
        <f t="shared" si="35"/>
        <v>11385</v>
      </c>
      <c r="O265" s="16">
        <f t="shared" si="36"/>
        <v>0.47368421052631576</v>
      </c>
      <c r="P265" s="19">
        <v>41579</v>
      </c>
      <c r="Q265" s="5">
        <f t="shared" si="37"/>
        <v>11</v>
      </c>
      <c r="R265" s="3" t="str">
        <f t="shared" si="38"/>
        <v>November</v>
      </c>
      <c r="S265" s="6">
        <f t="shared" si="39"/>
        <v>2013</v>
      </c>
    </row>
    <row r="266" spans="1:19" ht="12.75" x14ac:dyDescent="0.2">
      <c r="A266" s="2" t="s">
        <v>15</v>
      </c>
      <c r="B266" s="2" t="str">
        <f t="shared" si="32"/>
        <v>Government</v>
      </c>
      <c r="C266" s="2" t="s">
        <v>19</v>
      </c>
      <c r="D266" s="2" t="str">
        <f>PROPER(Table1[[#This Row],[Country]])</f>
        <v>Germany</v>
      </c>
      <c r="E266" s="3" t="s">
        <v>31</v>
      </c>
      <c r="F266" s="3" t="s">
        <v>34</v>
      </c>
      <c r="G266" s="13">
        <v>2297</v>
      </c>
      <c r="H266" s="4">
        <v>250</v>
      </c>
      <c r="I266" s="4">
        <v>20</v>
      </c>
      <c r="J266" s="4">
        <f t="shared" si="33"/>
        <v>45940</v>
      </c>
      <c r="K266" s="4">
        <v>2297</v>
      </c>
      <c r="L266" s="4">
        <f t="shared" si="34"/>
        <v>43643</v>
      </c>
      <c r="M266" s="4">
        <v>22970</v>
      </c>
      <c r="N266" s="4">
        <f t="shared" si="35"/>
        <v>20673</v>
      </c>
      <c r="O266" s="16">
        <f t="shared" si="36"/>
        <v>0.47368421052631576</v>
      </c>
      <c r="P266" s="19">
        <v>41579</v>
      </c>
      <c r="Q266" s="5">
        <f t="shared" si="37"/>
        <v>11</v>
      </c>
      <c r="R266" s="3" t="str">
        <f t="shared" si="38"/>
        <v>November</v>
      </c>
      <c r="S266" s="6">
        <f t="shared" si="39"/>
        <v>2013</v>
      </c>
    </row>
    <row r="267" spans="1:19" ht="12.75" x14ac:dyDescent="0.2">
      <c r="A267" s="2" t="s">
        <v>15</v>
      </c>
      <c r="B267" s="2" t="str">
        <f t="shared" si="32"/>
        <v>Government</v>
      </c>
      <c r="C267" s="2" t="s">
        <v>71</v>
      </c>
      <c r="D267" s="2" t="str">
        <f>PROPER(Table1[[#This Row],[Country]])</f>
        <v>Usa</v>
      </c>
      <c r="E267" s="3" t="s">
        <v>31</v>
      </c>
      <c r="F267" s="3" t="s">
        <v>34</v>
      </c>
      <c r="G267" s="13">
        <v>2663</v>
      </c>
      <c r="H267" s="4">
        <v>250</v>
      </c>
      <c r="I267" s="4">
        <v>20</v>
      </c>
      <c r="J267" s="4">
        <f t="shared" si="33"/>
        <v>53260</v>
      </c>
      <c r="K267" s="4">
        <v>2663</v>
      </c>
      <c r="L267" s="4">
        <f t="shared" si="34"/>
        <v>50597</v>
      </c>
      <c r="M267" s="4">
        <v>26630</v>
      </c>
      <c r="N267" s="4">
        <f t="shared" si="35"/>
        <v>23967</v>
      </c>
      <c r="O267" s="16">
        <f t="shared" si="36"/>
        <v>0.47368421052631576</v>
      </c>
      <c r="P267" s="19">
        <v>41974</v>
      </c>
      <c r="Q267" s="5">
        <f t="shared" si="37"/>
        <v>12</v>
      </c>
      <c r="R267" s="3" t="str">
        <f t="shared" si="38"/>
        <v>December</v>
      </c>
      <c r="S267" s="6">
        <f t="shared" si="39"/>
        <v>2014</v>
      </c>
    </row>
    <row r="268" spans="1:19" ht="12.75" x14ac:dyDescent="0.2">
      <c r="A268" s="2" t="s">
        <v>15</v>
      </c>
      <c r="B268" s="2" t="str">
        <f t="shared" si="32"/>
        <v>Government</v>
      </c>
      <c r="C268" s="2" t="s">
        <v>71</v>
      </c>
      <c r="D268" s="2" t="str">
        <f>PROPER(Table1[[#This Row],[Country]])</f>
        <v>Usa</v>
      </c>
      <c r="E268" s="3" t="s">
        <v>31</v>
      </c>
      <c r="F268" s="3" t="s">
        <v>34</v>
      </c>
      <c r="G268" s="13">
        <v>570</v>
      </c>
      <c r="H268" s="4">
        <v>250</v>
      </c>
      <c r="I268" s="4">
        <v>7</v>
      </c>
      <c r="J268" s="4">
        <f t="shared" si="33"/>
        <v>3990</v>
      </c>
      <c r="K268" s="4">
        <v>199.5</v>
      </c>
      <c r="L268" s="4">
        <f t="shared" si="34"/>
        <v>3790.5</v>
      </c>
      <c r="M268" s="4">
        <v>2850</v>
      </c>
      <c r="N268" s="4">
        <f t="shared" si="35"/>
        <v>940.5</v>
      </c>
      <c r="O268" s="16">
        <f t="shared" si="36"/>
        <v>0.24812030075187969</v>
      </c>
      <c r="P268" s="19">
        <v>41974</v>
      </c>
      <c r="Q268" s="5">
        <f t="shared" si="37"/>
        <v>12</v>
      </c>
      <c r="R268" s="3" t="str">
        <f t="shared" si="38"/>
        <v>December</v>
      </c>
      <c r="S268" s="6">
        <f t="shared" si="39"/>
        <v>2014</v>
      </c>
    </row>
    <row r="269" spans="1:19" ht="12.75" x14ac:dyDescent="0.2">
      <c r="A269" s="2" t="s">
        <v>15</v>
      </c>
      <c r="B269" s="2" t="str">
        <f t="shared" si="32"/>
        <v>Government</v>
      </c>
      <c r="C269" s="2" t="s">
        <v>21</v>
      </c>
      <c r="D269" s="2" t="str">
        <f>PROPER(Table1[[#This Row],[Country]])</f>
        <v>France</v>
      </c>
      <c r="E269" s="3" t="s">
        <v>31</v>
      </c>
      <c r="F269" s="3" t="s">
        <v>34</v>
      </c>
      <c r="G269" s="13">
        <v>2487</v>
      </c>
      <c r="H269" s="4">
        <v>250</v>
      </c>
      <c r="I269" s="4">
        <v>7</v>
      </c>
      <c r="J269" s="4">
        <f t="shared" si="33"/>
        <v>17409</v>
      </c>
      <c r="K269" s="4">
        <v>870.45</v>
      </c>
      <c r="L269" s="4">
        <f t="shared" si="34"/>
        <v>16538.55</v>
      </c>
      <c r="M269" s="4">
        <v>12435</v>
      </c>
      <c r="N269" s="4">
        <f t="shared" si="35"/>
        <v>4103.5499999999993</v>
      </c>
      <c r="O269" s="16">
        <f t="shared" si="36"/>
        <v>0.24812030075187966</v>
      </c>
      <c r="P269" s="19">
        <v>41974</v>
      </c>
      <c r="Q269" s="5">
        <f t="shared" si="37"/>
        <v>12</v>
      </c>
      <c r="R269" s="3" t="str">
        <f t="shared" si="38"/>
        <v>December</v>
      </c>
      <c r="S269" s="6">
        <f t="shared" si="39"/>
        <v>2014</v>
      </c>
    </row>
    <row r="270" spans="1:19" ht="12.75" x14ac:dyDescent="0.2">
      <c r="A270" s="2" t="s">
        <v>15</v>
      </c>
      <c r="B270" s="2" t="str">
        <f t="shared" si="32"/>
        <v>Government</v>
      </c>
      <c r="C270" s="2" t="s">
        <v>19</v>
      </c>
      <c r="D270" s="2" t="str">
        <f>PROPER(Table1[[#This Row],[Country]])</f>
        <v>Germany</v>
      </c>
      <c r="E270" s="3" t="s">
        <v>32</v>
      </c>
      <c r="F270" s="3" t="s">
        <v>34</v>
      </c>
      <c r="G270" s="13">
        <v>1350</v>
      </c>
      <c r="H270" s="4">
        <v>260</v>
      </c>
      <c r="I270" s="4">
        <v>350</v>
      </c>
      <c r="J270" s="4">
        <f t="shared" si="33"/>
        <v>472500</v>
      </c>
      <c r="K270" s="4">
        <v>23625</v>
      </c>
      <c r="L270" s="4">
        <f t="shared" si="34"/>
        <v>448875</v>
      </c>
      <c r="M270" s="4">
        <v>351000</v>
      </c>
      <c r="N270" s="4">
        <f t="shared" si="35"/>
        <v>97875</v>
      </c>
      <c r="O270" s="16">
        <f t="shared" si="36"/>
        <v>0.21804511278195488</v>
      </c>
      <c r="P270" s="19">
        <v>41671</v>
      </c>
      <c r="Q270" s="5">
        <f t="shared" si="37"/>
        <v>2</v>
      </c>
      <c r="R270" s="3" t="str">
        <f t="shared" si="38"/>
        <v>February</v>
      </c>
      <c r="S270" s="6">
        <f t="shared" si="39"/>
        <v>2014</v>
      </c>
    </row>
    <row r="271" spans="1:19" ht="12.75" x14ac:dyDescent="0.2">
      <c r="A271" s="2" t="s">
        <v>15</v>
      </c>
      <c r="B271" s="2" t="str">
        <f t="shared" si="32"/>
        <v>Government</v>
      </c>
      <c r="C271" s="2" t="s">
        <v>16</v>
      </c>
      <c r="D271" s="2" t="str">
        <f>PROPER(Table1[[#This Row],[Country]])</f>
        <v>Canada</v>
      </c>
      <c r="E271" s="3" t="s">
        <v>32</v>
      </c>
      <c r="F271" s="3" t="s">
        <v>34</v>
      </c>
      <c r="G271" s="13">
        <v>552</v>
      </c>
      <c r="H271" s="4">
        <v>260</v>
      </c>
      <c r="I271" s="4">
        <v>350</v>
      </c>
      <c r="J271" s="4">
        <f t="shared" si="33"/>
        <v>193200</v>
      </c>
      <c r="K271" s="4">
        <v>9660</v>
      </c>
      <c r="L271" s="4">
        <f t="shared" si="34"/>
        <v>183540</v>
      </c>
      <c r="M271" s="4">
        <v>143520</v>
      </c>
      <c r="N271" s="4">
        <f t="shared" si="35"/>
        <v>40020</v>
      </c>
      <c r="O271" s="16">
        <f t="shared" si="36"/>
        <v>0.21804511278195488</v>
      </c>
      <c r="P271" s="19">
        <v>41852</v>
      </c>
      <c r="Q271" s="5">
        <f t="shared" si="37"/>
        <v>8</v>
      </c>
      <c r="R271" s="3" t="str">
        <f t="shared" si="38"/>
        <v>August</v>
      </c>
      <c r="S271" s="6">
        <f t="shared" si="39"/>
        <v>2014</v>
      </c>
    </row>
    <row r="272" spans="1:19" ht="12.75" x14ac:dyDescent="0.2">
      <c r="A272" s="2" t="s">
        <v>15</v>
      </c>
      <c r="B272" s="2" t="str">
        <f t="shared" si="32"/>
        <v>Government</v>
      </c>
      <c r="C272" s="2" t="s">
        <v>16</v>
      </c>
      <c r="D272" s="2" t="str">
        <f>PROPER(Table1[[#This Row],[Country]])</f>
        <v>Canada</v>
      </c>
      <c r="E272" s="3" t="s">
        <v>32</v>
      </c>
      <c r="F272" s="3" t="s">
        <v>34</v>
      </c>
      <c r="G272" s="13">
        <v>1228</v>
      </c>
      <c r="H272" s="4">
        <v>260</v>
      </c>
      <c r="I272" s="4">
        <v>350</v>
      </c>
      <c r="J272" s="4">
        <f t="shared" si="33"/>
        <v>429800</v>
      </c>
      <c r="K272" s="4">
        <v>21490</v>
      </c>
      <c r="L272" s="4">
        <f t="shared" si="34"/>
        <v>408310</v>
      </c>
      <c r="M272" s="4">
        <v>319280</v>
      </c>
      <c r="N272" s="4">
        <f t="shared" si="35"/>
        <v>89030</v>
      </c>
      <c r="O272" s="16">
        <f t="shared" si="36"/>
        <v>0.21804511278195488</v>
      </c>
      <c r="P272" s="19">
        <v>41548</v>
      </c>
      <c r="Q272" s="5">
        <f t="shared" si="37"/>
        <v>10</v>
      </c>
      <c r="R272" s="3" t="str">
        <f t="shared" si="38"/>
        <v>October</v>
      </c>
      <c r="S272" s="6">
        <f t="shared" si="39"/>
        <v>2013</v>
      </c>
    </row>
    <row r="273" spans="1:19" ht="12.75" x14ac:dyDescent="0.2">
      <c r="A273" s="2" t="s">
        <v>29</v>
      </c>
      <c r="B273" s="2" t="str">
        <f t="shared" si="32"/>
        <v>Small Business</v>
      </c>
      <c r="C273" s="2" t="s">
        <v>19</v>
      </c>
      <c r="D273" s="2" t="str">
        <f>PROPER(Table1[[#This Row],[Country]])</f>
        <v>Germany</v>
      </c>
      <c r="E273" s="3" t="s">
        <v>32</v>
      </c>
      <c r="F273" s="3" t="s">
        <v>34</v>
      </c>
      <c r="G273" s="13">
        <v>1250</v>
      </c>
      <c r="H273" s="4">
        <v>260</v>
      </c>
      <c r="I273" s="4">
        <v>300</v>
      </c>
      <c r="J273" s="4">
        <f t="shared" si="33"/>
        <v>375000</v>
      </c>
      <c r="K273" s="4">
        <v>18750</v>
      </c>
      <c r="L273" s="4">
        <f t="shared" si="34"/>
        <v>356250</v>
      </c>
      <c r="M273" s="4">
        <v>312500</v>
      </c>
      <c r="N273" s="4">
        <f t="shared" si="35"/>
        <v>43750</v>
      </c>
      <c r="O273" s="16">
        <f t="shared" si="36"/>
        <v>0.12280701754385964</v>
      </c>
      <c r="P273" s="19">
        <v>41974</v>
      </c>
      <c r="Q273" s="5">
        <f t="shared" si="37"/>
        <v>12</v>
      </c>
      <c r="R273" s="3" t="str">
        <f t="shared" si="38"/>
        <v>December</v>
      </c>
      <c r="S273" s="6">
        <f t="shared" si="39"/>
        <v>2014</v>
      </c>
    </row>
    <row r="274" spans="1:19" ht="12.75" x14ac:dyDescent="0.2">
      <c r="A274" s="2" t="s">
        <v>20</v>
      </c>
      <c r="B274" s="2" t="str">
        <f t="shared" si="32"/>
        <v>Midmarket</v>
      </c>
      <c r="C274" s="2" t="s">
        <v>21</v>
      </c>
      <c r="D274" s="2" t="str">
        <f>PROPER(Table1[[#This Row],[Country]])</f>
        <v>France</v>
      </c>
      <c r="E274" s="3" t="s">
        <v>28</v>
      </c>
      <c r="F274" s="3" t="s">
        <v>34</v>
      </c>
      <c r="G274" s="13">
        <v>3801</v>
      </c>
      <c r="H274" s="4">
        <v>10</v>
      </c>
      <c r="I274" s="4">
        <v>15</v>
      </c>
      <c r="J274" s="4">
        <f t="shared" si="33"/>
        <v>57015</v>
      </c>
      <c r="K274" s="4">
        <v>3420.8999999999996</v>
      </c>
      <c r="L274" s="4">
        <f t="shared" si="34"/>
        <v>53594.1</v>
      </c>
      <c r="M274" s="4">
        <v>38010</v>
      </c>
      <c r="N274" s="4">
        <f t="shared" si="35"/>
        <v>15584.099999999999</v>
      </c>
      <c r="O274" s="16">
        <f t="shared" si="36"/>
        <v>0.29078014184397161</v>
      </c>
      <c r="P274" s="19">
        <v>41730</v>
      </c>
      <c r="Q274" s="5">
        <f t="shared" si="37"/>
        <v>4</v>
      </c>
      <c r="R274" s="3" t="str">
        <f t="shared" si="38"/>
        <v>April</v>
      </c>
      <c r="S274" s="6">
        <f t="shared" si="39"/>
        <v>2014</v>
      </c>
    </row>
    <row r="275" spans="1:19" ht="12.75" x14ac:dyDescent="0.2">
      <c r="A275" s="2" t="s">
        <v>15</v>
      </c>
      <c r="B275" s="2" t="str">
        <f t="shared" si="32"/>
        <v>Government</v>
      </c>
      <c r="C275" s="2" t="s">
        <v>71</v>
      </c>
      <c r="D275" s="2" t="str">
        <f>PROPER(Table1[[#This Row],[Country]])</f>
        <v>Usa</v>
      </c>
      <c r="E275" s="3" t="s">
        <v>17</v>
      </c>
      <c r="F275" s="3" t="s">
        <v>34</v>
      </c>
      <c r="G275" s="13">
        <v>1117.5</v>
      </c>
      <c r="H275" s="4">
        <v>3</v>
      </c>
      <c r="I275" s="4">
        <v>20</v>
      </c>
      <c r="J275" s="4">
        <f t="shared" si="33"/>
        <v>22350</v>
      </c>
      <c r="K275" s="4">
        <v>1341</v>
      </c>
      <c r="L275" s="4">
        <f t="shared" si="34"/>
        <v>21009</v>
      </c>
      <c r="M275" s="4">
        <v>11175</v>
      </c>
      <c r="N275" s="4">
        <f t="shared" si="35"/>
        <v>9834</v>
      </c>
      <c r="O275" s="16">
        <f t="shared" si="36"/>
        <v>0.46808510638297873</v>
      </c>
      <c r="P275" s="19">
        <v>41640</v>
      </c>
      <c r="Q275" s="5">
        <f t="shared" si="37"/>
        <v>1</v>
      </c>
      <c r="R275" s="3" t="str">
        <f t="shared" si="38"/>
        <v>January</v>
      </c>
      <c r="S275" s="6">
        <f t="shared" si="39"/>
        <v>2014</v>
      </c>
    </row>
    <row r="276" spans="1:19" ht="12.75" x14ac:dyDescent="0.2">
      <c r="A276" s="2" t="s">
        <v>20</v>
      </c>
      <c r="B276" s="2" t="str">
        <f t="shared" si="32"/>
        <v>Midmarket</v>
      </c>
      <c r="C276" s="2" t="s">
        <v>16</v>
      </c>
      <c r="D276" s="2" t="str">
        <f>PROPER(Table1[[#This Row],[Country]])</f>
        <v>Canada</v>
      </c>
      <c r="E276" s="3" t="s">
        <v>17</v>
      </c>
      <c r="F276" s="3" t="s">
        <v>34</v>
      </c>
      <c r="G276" s="13">
        <v>2844</v>
      </c>
      <c r="H276" s="4">
        <v>3</v>
      </c>
      <c r="I276" s="4">
        <v>15</v>
      </c>
      <c r="J276" s="4">
        <f t="shared" si="33"/>
        <v>42660</v>
      </c>
      <c r="K276" s="4">
        <v>2559.6</v>
      </c>
      <c r="L276" s="4">
        <f t="shared" si="34"/>
        <v>40100.400000000001</v>
      </c>
      <c r="M276" s="4">
        <v>28440</v>
      </c>
      <c r="N276" s="4">
        <f t="shared" si="35"/>
        <v>11660.400000000001</v>
      </c>
      <c r="O276" s="16">
        <f t="shared" si="36"/>
        <v>0.29078014184397166</v>
      </c>
      <c r="P276" s="19">
        <v>41791</v>
      </c>
      <c r="Q276" s="5">
        <f t="shared" si="37"/>
        <v>6</v>
      </c>
      <c r="R276" s="3" t="str">
        <f t="shared" si="38"/>
        <v>June</v>
      </c>
      <c r="S276" s="6">
        <f t="shared" si="39"/>
        <v>2014</v>
      </c>
    </row>
    <row r="277" spans="1:19" ht="12.75" x14ac:dyDescent="0.2">
      <c r="A277" s="2" t="s">
        <v>24</v>
      </c>
      <c r="B277" s="2" t="str">
        <f t="shared" si="32"/>
        <v>Channel Partners</v>
      </c>
      <c r="C277" s="2" t="s">
        <v>22</v>
      </c>
      <c r="D277" s="2" t="str">
        <f>PROPER(Table1[[#This Row],[Country]])</f>
        <v>Mexico</v>
      </c>
      <c r="E277" s="3" t="s">
        <v>17</v>
      </c>
      <c r="F277" s="3" t="s">
        <v>34</v>
      </c>
      <c r="G277" s="13">
        <v>562</v>
      </c>
      <c r="H277" s="4">
        <v>3</v>
      </c>
      <c r="I277" s="4">
        <v>12</v>
      </c>
      <c r="J277" s="4">
        <f t="shared" si="33"/>
        <v>6744</v>
      </c>
      <c r="K277" s="4">
        <v>404.64</v>
      </c>
      <c r="L277" s="4">
        <f t="shared" si="34"/>
        <v>6339.36</v>
      </c>
      <c r="M277" s="4">
        <v>1686</v>
      </c>
      <c r="N277" s="4">
        <f t="shared" si="35"/>
        <v>4653.3599999999997</v>
      </c>
      <c r="O277" s="16">
        <f t="shared" si="36"/>
        <v>0.73404255319148937</v>
      </c>
      <c r="P277" s="19">
        <v>41883</v>
      </c>
      <c r="Q277" s="5">
        <f t="shared" si="37"/>
        <v>9</v>
      </c>
      <c r="R277" s="3" t="str">
        <f t="shared" si="38"/>
        <v>September</v>
      </c>
      <c r="S277" s="6">
        <f t="shared" si="39"/>
        <v>2014</v>
      </c>
    </row>
    <row r="278" spans="1:19" ht="12.75" x14ac:dyDescent="0.2">
      <c r="A278" s="2" t="s">
        <v>24</v>
      </c>
      <c r="B278" s="2" t="str">
        <f t="shared" si="32"/>
        <v>Channel Partners</v>
      </c>
      <c r="C278" s="2" t="s">
        <v>16</v>
      </c>
      <c r="D278" s="2" t="str">
        <f>PROPER(Table1[[#This Row],[Country]])</f>
        <v>Canada</v>
      </c>
      <c r="E278" s="3" t="s">
        <v>17</v>
      </c>
      <c r="F278" s="3" t="s">
        <v>34</v>
      </c>
      <c r="G278" s="13">
        <v>2299</v>
      </c>
      <c r="H278" s="4">
        <v>3</v>
      </c>
      <c r="I278" s="4">
        <v>12</v>
      </c>
      <c r="J278" s="4">
        <f t="shared" si="33"/>
        <v>27588</v>
      </c>
      <c r="K278" s="4">
        <v>1655.28</v>
      </c>
      <c r="L278" s="4">
        <f t="shared" si="34"/>
        <v>25932.720000000001</v>
      </c>
      <c r="M278" s="4">
        <v>6897</v>
      </c>
      <c r="N278" s="4">
        <f t="shared" si="35"/>
        <v>19035.72</v>
      </c>
      <c r="O278" s="16">
        <f t="shared" si="36"/>
        <v>0.73404255319148937</v>
      </c>
      <c r="P278" s="19">
        <v>41548</v>
      </c>
      <c r="Q278" s="5">
        <f t="shared" si="37"/>
        <v>10</v>
      </c>
      <c r="R278" s="3" t="str">
        <f t="shared" si="38"/>
        <v>October</v>
      </c>
      <c r="S278" s="6">
        <f t="shared" si="39"/>
        <v>2013</v>
      </c>
    </row>
    <row r="279" spans="1:19" ht="12.75" x14ac:dyDescent="0.2">
      <c r="A279" s="2" t="s">
        <v>20</v>
      </c>
      <c r="B279" s="2" t="str">
        <f t="shared" si="32"/>
        <v>Midmarket</v>
      </c>
      <c r="C279" s="2" t="s">
        <v>71</v>
      </c>
      <c r="D279" s="2" t="str">
        <f>PROPER(Table1[[#This Row],[Country]])</f>
        <v>Usa</v>
      </c>
      <c r="E279" s="3" t="s">
        <v>17</v>
      </c>
      <c r="F279" s="3" t="s">
        <v>34</v>
      </c>
      <c r="G279" s="13">
        <v>2030</v>
      </c>
      <c r="H279" s="4">
        <v>3</v>
      </c>
      <c r="I279" s="4">
        <v>15</v>
      </c>
      <c r="J279" s="4">
        <f t="shared" si="33"/>
        <v>30450</v>
      </c>
      <c r="K279" s="4">
        <v>1827</v>
      </c>
      <c r="L279" s="4">
        <f t="shared" si="34"/>
        <v>28623</v>
      </c>
      <c r="M279" s="4">
        <v>20300</v>
      </c>
      <c r="N279" s="4">
        <f t="shared" si="35"/>
        <v>8323</v>
      </c>
      <c r="O279" s="16">
        <f t="shared" si="36"/>
        <v>0.29078014184397161</v>
      </c>
      <c r="P279" s="19">
        <v>41944</v>
      </c>
      <c r="Q279" s="5">
        <f t="shared" si="37"/>
        <v>11</v>
      </c>
      <c r="R279" s="3" t="str">
        <f t="shared" si="38"/>
        <v>November</v>
      </c>
      <c r="S279" s="6">
        <f t="shared" si="39"/>
        <v>2014</v>
      </c>
    </row>
    <row r="280" spans="1:19" ht="12.75" x14ac:dyDescent="0.2">
      <c r="A280" s="2" t="s">
        <v>15</v>
      </c>
      <c r="B280" s="2" t="str">
        <f t="shared" si="32"/>
        <v>Government</v>
      </c>
      <c r="C280" s="2" t="s">
        <v>71</v>
      </c>
      <c r="D280" s="2" t="str">
        <f>PROPER(Table1[[#This Row],[Country]])</f>
        <v>Usa</v>
      </c>
      <c r="E280" s="3" t="s">
        <v>17</v>
      </c>
      <c r="F280" s="3" t="s">
        <v>34</v>
      </c>
      <c r="G280" s="13">
        <v>263</v>
      </c>
      <c r="H280" s="4">
        <v>3</v>
      </c>
      <c r="I280" s="4">
        <v>7</v>
      </c>
      <c r="J280" s="4">
        <f t="shared" si="33"/>
        <v>1841</v>
      </c>
      <c r="K280" s="4">
        <v>110.46</v>
      </c>
      <c r="L280" s="4">
        <f t="shared" si="34"/>
        <v>1730.54</v>
      </c>
      <c r="M280" s="4">
        <v>1315</v>
      </c>
      <c r="N280" s="4">
        <f t="shared" si="35"/>
        <v>415.53999999999996</v>
      </c>
      <c r="O280" s="16">
        <f t="shared" si="36"/>
        <v>0.24012158054711244</v>
      </c>
      <c r="P280" s="19">
        <v>41579</v>
      </c>
      <c r="Q280" s="5">
        <f t="shared" si="37"/>
        <v>11</v>
      </c>
      <c r="R280" s="3" t="str">
        <f t="shared" si="38"/>
        <v>November</v>
      </c>
      <c r="S280" s="6">
        <f t="shared" si="39"/>
        <v>2013</v>
      </c>
    </row>
    <row r="281" spans="1:19" ht="12.75" x14ac:dyDescent="0.2">
      <c r="A281" s="2" t="s">
        <v>25</v>
      </c>
      <c r="B281" s="2" t="str">
        <f t="shared" si="32"/>
        <v>Enterprise</v>
      </c>
      <c r="C281" s="2" t="s">
        <v>19</v>
      </c>
      <c r="D281" s="2" t="str">
        <f>PROPER(Table1[[#This Row],[Country]])</f>
        <v>Germany</v>
      </c>
      <c r="E281" s="3" t="s">
        <v>17</v>
      </c>
      <c r="F281" s="3" t="s">
        <v>34</v>
      </c>
      <c r="G281" s="13">
        <v>887</v>
      </c>
      <c r="H281" s="4">
        <v>3</v>
      </c>
      <c r="I281" s="4">
        <v>125</v>
      </c>
      <c r="J281" s="4">
        <f t="shared" si="33"/>
        <v>110875</v>
      </c>
      <c r="K281" s="4">
        <v>6652.5</v>
      </c>
      <c r="L281" s="4">
        <f t="shared" si="34"/>
        <v>104222.5</v>
      </c>
      <c r="M281" s="4">
        <v>106440</v>
      </c>
      <c r="N281" s="4">
        <f t="shared" si="35"/>
        <v>-2217.5</v>
      </c>
      <c r="O281" s="16">
        <f t="shared" si="36"/>
        <v>-2.1276595744680851E-2</v>
      </c>
      <c r="P281" s="19">
        <v>41609</v>
      </c>
      <c r="Q281" s="5">
        <f t="shared" si="37"/>
        <v>12</v>
      </c>
      <c r="R281" s="3" t="str">
        <f t="shared" si="38"/>
        <v>December</v>
      </c>
      <c r="S281" s="6">
        <f t="shared" si="39"/>
        <v>2013</v>
      </c>
    </row>
    <row r="282" spans="1:19" ht="12.75" x14ac:dyDescent="0.2">
      <c r="A282" s="2" t="s">
        <v>15</v>
      </c>
      <c r="B282" s="2" t="str">
        <f t="shared" si="32"/>
        <v>Government</v>
      </c>
      <c r="C282" s="2" t="s">
        <v>22</v>
      </c>
      <c r="D282" s="2" t="str">
        <f>PROPER(Table1[[#This Row],[Country]])</f>
        <v>Mexico</v>
      </c>
      <c r="E282" s="3" t="s">
        <v>23</v>
      </c>
      <c r="F282" s="3" t="s">
        <v>34</v>
      </c>
      <c r="G282" s="13">
        <v>980</v>
      </c>
      <c r="H282" s="4">
        <v>5</v>
      </c>
      <c r="I282" s="4">
        <v>350</v>
      </c>
      <c r="J282" s="4">
        <f t="shared" si="33"/>
        <v>343000</v>
      </c>
      <c r="K282" s="4">
        <v>20580</v>
      </c>
      <c r="L282" s="4">
        <f t="shared" si="34"/>
        <v>322420</v>
      </c>
      <c r="M282" s="4">
        <v>254800</v>
      </c>
      <c r="N282" s="4">
        <f t="shared" si="35"/>
        <v>67620</v>
      </c>
      <c r="O282" s="16">
        <f t="shared" si="36"/>
        <v>0.20972644376899696</v>
      </c>
      <c r="P282" s="19">
        <v>41730</v>
      </c>
      <c r="Q282" s="5">
        <f t="shared" si="37"/>
        <v>4</v>
      </c>
      <c r="R282" s="3" t="str">
        <f t="shared" si="38"/>
        <v>April</v>
      </c>
      <c r="S282" s="6">
        <f t="shared" si="39"/>
        <v>2014</v>
      </c>
    </row>
    <row r="283" spans="1:19" ht="12.75" x14ac:dyDescent="0.2">
      <c r="A283" s="2" t="s">
        <v>15</v>
      </c>
      <c r="B283" s="2" t="str">
        <f t="shared" si="32"/>
        <v>Government</v>
      </c>
      <c r="C283" s="2" t="s">
        <v>19</v>
      </c>
      <c r="D283" s="2" t="str">
        <f>PROPER(Table1[[#This Row],[Country]])</f>
        <v>Germany</v>
      </c>
      <c r="E283" s="3" t="s">
        <v>23</v>
      </c>
      <c r="F283" s="3" t="s">
        <v>34</v>
      </c>
      <c r="G283" s="13">
        <v>1460</v>
      </c>
      <c r="H283" s="4">
        <v>5</v>
      </c>
      <c r="I283" s="4">
        <v>350</v>
      </c>
      <c r="J283" s="4">
        <f t="shared" si="33"/>
        <v>511000</v>
      </c>
      <c r="K283" s="4">
        <v>30660</v>
      </c>
      <c r="L283" s="4">
        <f t="shared" si="34"/>
        <v>480340</v>
      </c>
      <c r="M283" s="4">
        <v>379600</v>
      </c>
      <c r="N283" s="4">
        <f t="shared" si="35"/>
        <v>100740</v>
      </c>
      <c r="O283" s="16">
        <f t="shared" si="36"/>
        <v>0.20972644376899696</v>
      </c>
      <c r="P283" s="19">
        <v>41760</v>
      </c>
      <c r="Q283" s="5">
        <f t="shared" si="37"/>
        <v>5</v>
      </c>
      <c r="R283" s="3" t="str">
        <f t="shared" si="38"/>
        <v>May</v>
      </c>
      <c r="S283" s="6">
        <f t="shared" si="39"/>
        <v>2014</v>
      </c>
    </row>
    <row r="284" spans="1:19" ht="12.75" x14ac:dyDescent="0.2">
      <c r="A284" s="2" t="s">
        <v>15</v>
      </c>
      <c r="B284" s="2" t="str">
        <f t="shared" si="32"/>
        <v>Government</v>
      </c>
      <c r="C284" s="2" t="s">
        <v>21</v>
      </c>
      <c r="D284" s="2" t="str">
        <f>PROPER(Table1[[#This Row],[Country]])</f>
        <v>France</v>
      </c>
      <c r="E284" s="3" t="s">
        <v>23</v>
      </c>
      <c r="F284" s="3" t="s">
        <v>34</v>
      </c>
      <c r="G284" s="13">
        <v>1403</v>
      </c>
      <c r="H284" s="4">
        <v>5</v>
      </c>
      <c r="I284" s="4">
        <v>7</v>
      </c>
      <c r="J284" s="4">
        <f t="shared" si="33"/>
        <v>9821</v>
      </c>
      <c r="K284" s="4">
        <v>589.26</v>
      </c>
      <c r="L284" s="4">
        <f t="shared" si="34"/>
        <v>9231.74</v>
      </c>
      <c r="M284" s="4">
        <v>7015</v>
      </c>
      <c r="N284" s="4">
        <f t="shared" si="35"/>
        <v>2216.7399999999998</v>
      </c>
      <c r="O284" s="16">
        <f t="shared" si="36"/>
        <v>0.24012158054711244</v>
      </c>
      <c r="P284" s="19">
        <v>41548</v>
      </c>
      <c r="Q284" s="5">
        <f t="shared" si="37"/>
        <v>10</v>
      </c>
      <c r="R284" s="3" t="str">
        <f t="shared" si="38"/>
        <v>October</v>
      </c>
      <c r="S284" s="6">
        <f t="shared" si="39"/>
        <v>2013</v>
      </c>
    </row>
    <row r="285" spans="1:19" ht="12.75" x14ac:dyDescent="0.2">
      <c r="A285" s="2" t="s">
        <v>24</v>
      </c>
      <c r="B285" s="2" t="str">
        <f t="shared" si="32"/>
        <v>Channel Partners</v>
      </c>
      <c r="C285" s="2" t="s">
        <v>71</v>
      </c>
      <c r="D285" s="2" t="str">
        <f>PROPER(Table1[[#This Row],[Country]])</f>
        <v>Usa</v>
      </c>
      <c r="E285" s="3" t="s">
        <v>23</v>
      </c>
      <c r="F285" s="3" t="s">
        <v>34</v>
      </c>
      <c r="G285" s="13">
        <v>2723</v>
      </c>
      <c r="H285" s="4">
        <v>5</v>
      </c>
      <c r="I285" s="4">
        <v>12</v>
      </c>
      <c r="J285" s="4">
        <f t="shared" si="33"/>
        <v>32676</v>
      </c>
      <c r="K285" s="4">
        <v>1960.56</v>
      </c>
      <c r="L285" s="4">
        <f t="shared" si="34"/>
        <v>30715.439999999999</v>
      </c>
      <c r="M285" s="4">
        <v>8169</v>
      </c>
      <c r="N285" s="4">
        <f t="shared" si="35"/>
        <v>22546.44</v>
      </c>
      <c r="O285" s="16">
        <f t="shared" si="36"/>
        <v>0.73404255319148937</v>
      </c>
      <c r="P285" s="19">
        <v>41944</v>
      </c>
      <c r="Q285" s="5">
        <f t="shared" si="37"/>
        <v>11</v>
      </c>
      <c r="R285" s="3" t="str">
        <f t="shared" si="38"/>
        <v>November</v>
      </c>
      <c r="S285" s="6">
        <f t="shared" si="39"/>
        <v>2014</v>
      </c>
    </row>
    <row r="286" spans="1:19" ht="12.75" x14ac:dyDescent="0.2">
      <c r="A286" s="2" t="s">
        <v>15</v>
      </c>
      <c r="B286" s="2" t="str">
        <f t="shared" si="32"/>
        <v>Government</v>
      </c>
      <c r="C286" s="2" t="s">
        <v>21</v>
      </c>
      <c r="D286" s="2" t="str">
        <f>PROPER(Table1[[#This Row],[Country]])</f>
        <v>France</v>
      </c>
      <c r="E286" s="3" t="s">
        <v>28</v>
      </c>
      <c r="F286" s="3" t="s">
        <v>34</v>
      </c>
      <c r="G286" s="13">
        <v>1496</v>
      </c>
      <c r="H286" s="4">
        <v>10</v>
      </c>
      <c r="I286" s="4">
        <v>350</v>
      </c>
      <c r="J286" s="4">
        <f t="shared" si="33"/>
        <v>523600</v>
      </c>
      <c r="K286" s="4">
        <v>31416</v>
      </c>
      <c r="L286" s="4">
        <f t="shared" si="34"/>
        <v>492184</v>
      </c>
      <c r="M286" s="4">
        <v>388960</v>
      </c>
      <c r="N286" s="4">
        <f t="shared" si="35"/>
        <v>103224</v>
      </c>
      <c r="O286" s="16">
        <f t="shared" si="36"/>
        <v>0.20972644376899696</v>
      </c>
      <c r="P286" s="19">
        <v>41791</v>
      </c>
      <c r="Q286" s="5">
        <f t="shared" si="37"/>
        <v>6</v>
      </c>
      <c r="R286" s="3" t="str">
        <f t="shared" si="38"/>
        <v>June</v>
      </c>
      <c r="S286" s="6">
        <f t="shared" si="39"/>
        <v>2014</v>
      </c>
    </row>
    <row r="287" spans="1:19" ht="12.75" x14ac:dyDescent="0.2">
      <c r="A287" s="2" t="s">
        <v>24</v>
      </c>
      <c r="B287" s="2" t="str">
        <f t="shared" si="32"/>
        <v>Channel Partners</v>
      </c>
      <c r="C287" s="2" t="s">
        <v>16</v>
      </c>
      <c r="D287" s="2" t="str">
        <f>PROPER(Table1[[#This Row],[Country]])</f>
        <v>Canada</v>
      </c>
      <c r="E287" s="3" t="s">
        <v>28</v>
      </c>
      <c r="F287" s="3" t="s">
        <v>34</v>
      </c>
      <c r="G287" s="13">
        <v>2299</v>
      </c>
      <c r="H287" s="4">
        <v>10</v>
      </c>
      <c r="I287" s="4">
        <v>12</v>
      </c>
      <c r="J287" s="4">
        <f t="shared" si="33"/>
        <v>27588</v>
      </c>
      <c r="K287" s="4">
        <v>1655.28</v>
      </c>
      <c r="L287" s="4">
        <f t="shared" si="34"/>
        <v>25932.720000000001</v>
      </c>
      <c r="M287" s="4">
        <v>6897</v>
      </c>
      <c r="N287" s="4">
        <f t="shared" si="35"/>
        <v>19035.72</v>
      </c>
      <c r="O287" s="16">
        <f t="shared" si="36"/>
        <v>0.73404255319148937</v>
      </c>
      <c r="P287" s="19">
        <v>41548</v>
      </c>
      <c r="Q287" s="5">
        <f t="shared" si="37"/>
        <v>10</v>
      </c>
      <c r="R287" s="3" t="str">
        <f t="shared" si="38"/>
        <v>October</v>
      </c>
      <c r="S287" s="6">
        <f t="shared" si="39"/>
        <v>2013</v>
      </c>
    </row>
    <row r="288" spans="1:19" ht="12.75" x14ac:dyDescent="0.2">
      <c r="A288" s="2" t="s">
        <v>15</v>
      </c>
      <c r="B288" s="2" t="str">
        <f t="shared" si="32"/>
        <v>Government</v>
      </c>
      <c r="C288" s="2" t="s">
        <v>71</v>
      </c>
      <c r="D288" s="2" t="str">
        <f>PROPER(Table1[[#This Row],[Country]])</f>
        <v>Usa</v>
      </c>
      <c r="E288" s="3" t="s">
        <v>28</v>
      </c>
      <c r="F288" s="3" t="s">
        <v>34</v>
      </c>
      <c r="G288" s="13">
        <v>727</v>
      </c>
      <c r="H288" s="4">
        <v>10</v>
      </c>
      <c r="I288" s="4">
        <v>350</v>
      </c>
      <c r="J288" s="4">
        <f t="shared" si="33"/>
        <v>254450</v>
      </c>
      <c r="K288" s="4">
        <v>15267</v>
      </c>
      <c r="L288" s="4">
        <f t="shared" si="34"/>
        <v>239183</v>
      </c>
      <c r="M288" s="4">
        <v>189020</v>
      </c>
      <c r="N288" s="4">
        <f t="shared" si="35"/>
        <v>50163</v>
      </c>
      <c r="O288" s="16">
        <f t="shared" si="36"/>
        <v>0.20972644376899696</v>
      </c>
      <c r="P288" s="19">
        <v>41548</v>
      </c>
      <c r="Q288" s="5">
        <f t="shared" si="37"/>
        <v>10</v>
      </c>
      <c r="R288" s="3" t="str">
        <f t="shared" si="38"/>
        <v>October</v>
      </c>
      <c r="S288" s="6">
        <f t="shared" si="39"/>
        <v>2013</v>
      </c>
    </row>
    <row r="289" spans="1:19" ht="12.75" x14ac:dyDescent="0.2">
      <c r="A289" s="2" t="s">
        <v>25</v>
      </c>
      <c r="B289" s="2" t="str">
        <f t="shared" si="32"/>
        <v>Enterprise</v>
      </c>
      <c r="C289" s="2" t="s">
        <v>16</v>
      </c>
      <c r="D289" s="2" t="str">
        <f>PROPER(Table1[[#This Row],[Country]])</f>
        <v>Canada</v>
      </c>
      <c r="E289" s="3" t="s">
        <v>30</v>
      </c>
      <c r="F289" s="3" t="s">
        <v>34</v>
      </c>
      <c r="G289" s="13">
        <v>952</v>
      </c>
      <c r="H289" s="4">
        <v>120</v>
      </c>
      <c r="I289" s="4">
        <v>125</v>
      </c>
      <c r="J289" s="4">
        <f t="shared" si="33"/>
        <v>119000</v>
      </c>
      <c r="K289" s="4">
        <v>7140</v>
      </c>
      <c r="L289" s="4">
        <f t="shared" si="34"/>
        <v>111860</v>
      </c>
      <c r="M289" s="4">
        <v>114240</v>
      </c>
      <c r="N289" s="4">
        <f t="shared" si="35"/>
        <v>-2380</v>
      </c>
      <c r="O289" s="16">
        <f t="shared" si="36"/>
        <v>-2.1276595744680851E-2</v>
      </c>
      <c r="P289" s="19">
        <v>41671</v>
      </c>
      <c r="Q289" s="5">
        <f t="shared" si="37"/>
        <v>2</v>
      </c>
      <c r="R289" s="3" t="str">
        <f t="shared" si="38"/>
        <v>February</v>
      </c>
      <c r="S289" s="6">
        <f t="shared" si="39"/>
        <v>2014</v>
      </c>
    </row>
    <row r="290" spans="1:19" ht="12.75" x14ac:dyDescent="0.2">
      <c r="A290" s="2" t="s">
        <v>25</v>
      </c>
      <c r="B290" s="2" t="str">
        <f t="shared" si="32"/>
        <v>Enterprise</v>
      </c>
      <c r="C290" s="2" t="s">
        <v>71</v>
      </c>
      <c r="D290" s="2" t="str">
        <f>PROPER(Table1[[#This Row],[Country]])</f>
        <v>Usa</v>
      </c>
      <c r="E290" s="3" t="s">
        <v>30</v>
      </c>
      <c r="F290" s="3" t="s">
        <v>34</v>
      </c>
      <c r="G290" s="13">
        <v>2755</v>
      </c>
      <c r="H290" s="4">
        <v>120</v>
      </c>
      <c r="I290" s="4">
        <v>125</v>
      </c>
      <c r="J290" s="4">
        <f t="shared" si="33"/>
        <v>344375</v>
      </c>
      <c r="K290" s="4">
        <v>20662.5</v>
      </c>
      <c r="L290" s="4">
        <f t="shared" si="34"/>
        <v>323712.5</v>
      </c>
      <c r="M290" s="4">
        <v>330600</v>
      </c>
      <c r="N290" s="4">
        <f t="shared" si="35"/>
        <v>-6887.5</v>
      </c>
      <c r="O290" s="16">
        <f t="shared" si="36"/>
        <v>-2.1276595744680851E-2</v>
      </c>
      <c r="P290" s="19">
        <v>41671</v>
      </c>
      <c r="Q290" s="5">
        <f t="shared" si="37"/>
        <v>2</v>
      </c>
      <c r="R290" s="3" t="str">
        <f t="shared" si="38"/>
        <v>February</v>
      </c>
      <c r="S290" s="6">
        <f t="shared" si="39"/>
        <v>2014</v>
      </c>
    </row>
    <row r="291" spans="1:19" ht="12.75" x14ac:dyDescent="0.2">
      <c r="A291" s="2" t="s">
        <v>20</v>
      </c>
      <c r="B291" s="2" t="str">
        <f t="shared" si="32"/>
        <v>Midmarket</v>
      </c>
      <c r="C291" s="2" t="s">
        <v>19</v>
      </c>
      <c r="D291" s="2" t="str">
        <f>PROPER(Table1[[#This Row],[Country]])</f>
        <v>Germany</v>
      </c>
      <c r="E291" s="3" t="s">
        <v>30</v>
      </c>
      <c r="F291" s="3" t="s">
        <v>34</v>
      </c>
      <c r="G291" s="13">
        <v>1530</v>
      </c>
      <c r="H291" s="4">
        <v>120</v>
      </c>
      <c r="I291" s="4">
        <v>15</v>
      </c>
      <c r="J291" s="4">
        <f t="shared" si="33"/>
        <v>22950</v>
      </c>
      <c r="K291" s="4">
        <v>1377</v>
      </c>
      <c r="L291" s="4">
        <f t="shared" si="34"/>
        <v>21573</v>
      </c>
      <c r="M291" s="4">
        <v>15300</v>
      </c>
      <c r="N291" s="4">
        <f t="shared" si="35"/>
        <v>6273</v>
      </c>
      <c r="O291" s="16">
        <f t="shared" si="36"/>
        <v>0.29078014184397161</v>
      </c>
      <c r="P291" s="19">
        <v>41760</v>
      </c>
      <c r="Q291" s="5">
        <f t="shared" si="37"/>
        <v>5</v>
      </c>
      <c r="R291" s="3" t="str">
        <f t="shared" si="38"/>
        <v>May</v>
      </c>
      <c r="S291" s="6">
        <f t="shared" si="39"/>
        <v>2014</v>
      </c>
    </row>
    <row r="292" spans="1:19" ht="12.75" x14ac:dyDescent="0.2">
      <c r="A292" s="2" t="s">
        <v>15</v>
      </c>
      <c r="B292" s="2" t="str">
        <f t="shared" si="32"/>
        <v>Government</v>
      </c>
      <c r="C292" s="2" t="s">
        <v>21</v>
      </c>
      <c r="D292" s="2" t="str">
        <f>PROPER(Table1[[#This Row],[Country]])</f>
        <v>France</v>
      </c>
      <c r="E292" s="3" t="s">
        <v>30</v>
      </c>
      <c r="F292" s="3" t="s">
        <v>34</v>
      </c>
      <c r="G292" s="13">
        <v>1496</v>
      </c>
      <c r="H292" s="4">
        <v>120</v>
      </c>
      <c r="I292" s="4">
        <v>350</v>
      </c>
      <c r="J292" s="4">
        <f t="shared" si="33"/>
        <v>523600</v>
      </c>
      <c r="K292" s="4">
        <v>31416</v>
      </c>
      <c r="L292" s="4">
        <f t="shared" si="34"/>
        <v>492184</v>
      </c>
      <c r="M292" s="4">
        <v>388960</v>
      </c>
      <c r="N292" s="4">
        <f t="shared" si="35"/>
        <v>103224</v>
      </c>
      <c r="O292" s="16">
        <f t="shared" si="36"/>
        <v>0.20972644376899696</v>
      </c>
      <c r="P292" s="19">
        <v>41791</v>
      </c>
      <c r="Q292" s="5">
        <f t="shared" si="37"/>
        <v>6</v>
      </c>
      <c r="R292" s="3" t="str">
        <f t="shared" si="38"/>
        <v>June</v>
      </c>
      <c r="S292" s="6">
        <f t="shared" si="39"/>
        <v>2014</v>
      </c>
    </row>
    <row r="293" spans="1:19" ht="12.75" x14ac:dyDescent="0.2">
      <c r="A293" s="2" t="s">
        <v>15</v>
      </c>
      <c r="B293" s="2" t="str">
        <f t="shared" si="32"/>
        <v>Government</v>
      </c>
      <c r="C293" s="2" t="s">
        <v>22</v>
      </c>
      <c r="D293" s="2" t="str">
        <f>PROPER(Table1[[#This Row],[Country]])</f>
        <v>Mexico</v>
      </c>
      <c r="E293" s="3" t="s">
        <v>30</v>
      </c>
      <c r="F293" s="3" t="s">
        <v>34</v>
      </c>
      <c r="G293" s="13">
        <v>1498</v>
      </c>
      <c r="H293" s="4">
        <v>120</v>
      </c>
      <c r="I293" s="4">
        <v>7</v>
      </c>
      <c r="J293" s="4">
        <f t="shared" si="33"/>
        <v>10486</v>
      </c>
      <c r="K293" s="4">
        <v>629.16</v>
      </c>
      <c r="L293" s="4">
        <f t="shared" si="34"/>
        <v>9856.84</v>
      </c>
      <c r="M293" s="4">
        <v>7490</v>
      </c>
      <c r="N293" s="4">
        <f t="shared" si="35"/>
        <v>2366.84</v>
      </c>
      <c r="O293" s="16">
        <f t="shared" si="36"/>
        <v>0.24012158054711247</v>
      </c>
      <c r="P293" s="19">
        <v>41791</v>
      </c>
      <c r="Q293" s="5">
        <f t="shared" si="37"/>
        <v>6</v>
      </c>
      <c r="R293" s="3" t="str">
        <f t="shared" si="38"/>
        <v>June</v>
      </c>
      <c r="S293" s="6">
        <f t="shared" si="39"/>
        <v>2014</v>
      </c>
    </row>
    <row r="294" spans="1:19" ht="12.75" x14ac:dyDescent="0.2">
      <c r="A294" s="2" t="s">
        <v>29</v>
      </c>
      <c r="B294" s="2" t="str">
        <f t="shared" si="32"/>
        <v>Small Business</v>
      </c>
      <c r="C294" s="2" t="s">
        <v>21</v>
      </c>
      <c r="D294" s="2" t="str">
        <f>PROPER(Table1[[#This Row],[Country]])</f>
        <v>France</v>
      </c>
      <c r="E294" s="3" t="s">
        <v>30</v>
      </c>
      <c r="F294" s="3" t="s">
        <v>34</v>
      </c>
      <c r="G294" s="13">
        <v>1221</v>
      </c>
      <c r="H294" s="4">
        <v>120</v>
      </c>
      <c r="I294" s="4">
        <v>300</v>
      </c>
      <c r="J294" s="4">
        <f t="shared" si="33"/>
        <v>366300</v>
      </c>
      <c r="K294" s="4">
        <v>21978</v>
      </c>
      <c r="L294" s="4">
        <f t="shared" si="34"/>
        <v>344322</v>
      </c>
      <c r="M294" s="4">
        <v>305250</v>
      </c>
      <c r="N294" s="4">
        <f t="shared" si="35"/>
        <v>39072</v>
      </c>
      <c r="O294" s="16">
        <f t="shared" si="36"/>
        <v>0.11347517730496454</v>
      </c>
      <c r="P294" s="19">
        <v>41548</v>
      </c>
      <c r="Q294" s="5">
        <f t="shared" si="37"/>
        <v>10</v>
      </c>
      <c r="R294" s="3" t="str">
        <f t="shared" si="38"/>
        <v>October</v>
      </c>
      <c r="S294" s="6">
        <f t="shared" si="39"/>
        <v>2013</v>
      </c>
    </row>
    <row r="295" spans="1:19" ht="12.75" x14ac:dyDescent="0.2">
      <c r="A295" s="2" t="s">
        <v>15</v>
      </c>
      <c r="B295" s="2" t="str">
        <f t="shared" si="32"/>
        <v>Government</v>
      </c>
      <c r="C295" s="2" t="s">
        <v>21</v>
      </c>
      <c r="D295" s="2" t="str">
        <f>PROPER(Table1[[#This Row],[Country]])</f>
        <v>France</v>
      </c>
      <c r="E295" s="3" t="s">
        <v>30</v>
      </c>
      <c r="F295" s="3" t="s">
        <v>34</v>
      </c>
      <c r="G295" s="13">
        <v>2076</v>
      </c>
      <c r="H295" s="4">
        <v>120</v>
      </c>
      <c r="I295" s="4">
        <v>350</v>
      </c>
      <c r="J295" s="4">
        <f t="shared" si="33"/>
        <v>726600</v>
      </c>
      <c r="K295" s="4">
        <v>43596</v>
      </c>
      <c r="L295" s="4">
        <f t="shared" si="34"/>
        <v>683004</v>
      </c>
      <c r="M295" s="4">
        <v>539760</v>
      </c>
      <c r="N295" s="4">
        <f t="shared" si="35"/>
        <v>143244</v>
      </c>
      <c r="O295" s="16">
        <f t="shared" si="36"/>
        <v>0.20972644376899696</v>
      </c>
      <c r="P295" s="19">
        <v>41548</v>
      </c>
      <c r="Q295" s="5">
        <f t="shared" si="37"/>
        <v>10</v>
      </c>
      <c r="R295" s="3" t="str">
        <f t="shared" si="38"/>
        <v>October</v>
      </c>
      <c r="S295" s="6">
        <f t="shared" si="39"/>
        <v>2013</v>
      </c>
    </row>
    <row r="296" spans="1:19" ht="12.75" x14ac:dyDescent="0.2">
      <c r="A296" s="2" t="s">
        <v>20</v>
      </c>
      <c r="B296" s="2" t="str">
        <f t="shared" si="32"/>
        <v>Midmarket</v>
      </c>
      <c r="C296" s="2" t="s">
        <v>16</v>
      </c>
      <c r="D296" s="2" t="str">
        <f>PROPER(Table1[[#This Row],[Country]])</f>
        <v>Canada</v>
      </c>
      <c r="E296" s="3" t="s">
        <v>31</v>
      </c>
      <c r="F296" s="3" t="s">
        <v>34</v>
      </c>
      <c r="G296" s="13">
        <v>2844</v>
      </c>
      <c r="H296" s="4">
        <v>250</v>
      </c>
      <c r="I296" s="4">
        <v>15</v>
      </c>
      <c r="J296" s="4">
        <f t="shared" si="33"/>
        <v>42660</v>
      </c>
      <c r="K296" s="4">
        <v>2559.6</v>
      </c>
      <c r="L296" s="4">
        <f t="shared" si="34"/>
        <v>40100.400000000001</v>
      </c>
      <c r="M296" s="4">
        <v>28440</v>
      </c>
      <c r="N296" s="4">
        <f t="shared" si="35"/>
        <v>11660.400000000001</v>
      </c>
      <c r="O296" s="16">
        <f t="shared" si="36"/>
        <v>0.29078014184397166</v>
      </c>
      <c r="P296" s="19">
        <v>41791</v>
      </c>
      <c r="Q296" s="5">
        <f t="shared" si="37"/>
        <v>6</v>
      </c>
      <c r="R296" s="3" t="str">
        <f t="shared" si="38"/>
        <v>June</v>
      </c>
      <c r="S296" s="6">
        <f t="shared" si="39"/>
        <v>2014</v>
      </c>
    </row>
    <row r="297" spans="1:19" ht="12.75" x14ac:dyDescent="0.2">
      <c r="A297" s="2" t="s">
        <v>15</v>
      </c>
      <c r="B297" s="2" t="str">
        <f t="shared" si="32"/>
        <v>Government</v>
      </c>
      <c r="C297" s="2" t="s">
        <v>22</v>
      </c>
      <c r="D297" s="2" t="str">
        <f>PROPER(Table1[[#This Row],[Country]])</f>
        <v>Mexico</v>
      </c>
      <c r="E297" s="3" t="s">
        <v>31</v>
      </c>
      <c r="F297" s="3" t="s">
        <v>34</v>
      </c>
      <c r="G297" s="13">
        <v>1498</v>
      </c>
      <c r="H297" s="4">
        <v>250</v>
      </c>
      <c r="I297" s="4">
        <v>7</v>
      </c>
      <c r="J297" s="4">
        <f t="shared" si="33"/>
        <v>10486</v>
      </c>
      <c r="K297" s="4">
        <v>629.16</v>
      </c>
      <c r="L297" s="4">
        <f t="shared" si="34"/>
        <v>9856.84</v>
      </c>
      <c r="M297" s="4">
        <v>7490</v>
      </c>
      <c r="N297" s="4">
        <f t="shared" si="35"/>
        <v>2366.84</v>
      </c>
      <c r="O297" s="16">
        <f t="shared" si="36"/>
        <v>0.24012158054711247</v>
      </c>
      <c r="P297" s="19">
        <v>41791</v>
      </c>
      <c r="Q297" s="5">
        <f t="shared" si="37"/>
        <v>6</v>
      </c>
      <c r="R297" s="3" t="str">
        <f t="shared" si="38"/>
        <v>June</v>
      </c>
      <c r="S297" s="6">
        <f t="shared" si="39"/>
        <v>2014</v>
      </c>
    </row>
    <row r="298" spans="1:19" ht="12.75" x14ac:dyDescent="0.2">
      <c r="A298" s="2" t="s">
        <v>29</v>
      </c>
      <c r="B298" s="2" t="str">
        <f t="shared" si="32"/>
        <v>Small Business</v>
      </c>
      <c r="C298" s="2" t="s">
        <v>21</v>
      </c>
      <c r="D298" s="2" t="str">
        <f>PROPER(Table1[[#This Row],[Country]])</f>
        <v>France</v>
      </c>
      <c r="E298" s="3" t="s">
        <v>31</v>
      </c>
      <c r="F298" s="3" t="s">
        <v>34</v>
      </c>
      <c r="G298" s="13">
        <v>1221</v>
      </c>
      <c r="H298" s="4">
        <v>250</v>
      </c>
      <c r="I298" s="4">
        <v>300</v>
      </c>
      <c r="J298" s="4">
        <f t="shared" si="33"/>
        <v>366300</v>
      </c>
      <c r="K298" s="4">
        <v>21978</v>
      </c>
      <c r="L298" s="4">
        <f t="shared" si="34"/>
        <v>344322</v>
      </c>
      <c r="M298" s="4">
        <v>305250</v>
      </c>
      <c r="N298" s="4">
        <f t="shared" si="35"/>
        <v>39072</v>
      </c>
      <c r="O298" s="16">
        <f t="shared" si="36"/>
        <v>0.11347517730496454</v>
      </c>
      <c r="P298" s="19">
        <v>41548</v>
      </c>
      <c r="Q298" s="5">
        <f t="shared" si="37"/>
        <v>10</v>
      </c>
      <c r="R298" s="3" t="str">
        <f t="shared" si="38"/>
        <v>October</v>
      </c>
      <c r="S298" s="6">
        <f t="shared" si="39"/>
        <v>2013</v>
      </c>
    </row>
    <row r="299" spans="1:19" ht="12.75" x14ac:dyDescent="0.2">
      <c r="A299" s="2" t="s">
        <v>15</v>
      </c>
      <c r="B299" s="2" t="str">
        <f t="shared" si="32"/>
        <v>Government</v>
      </c>
      <c r="C299" s="2" t="s">
        <v>22</v>
      </c>
      <c r="D299" s="2" t="str">
        <f>PROPER(Table1[[#This Row],[Country]])</f>
        <v>Mexico</v>
      </c>
      <c r="E299" s="3" t="s">
        <v>31</v>
      </c>
      <c r="F299" s="3" t="s">
        <v>34</v>
      </c>
      <c r="G299" s="13">
        <v>1123</v>
      </c>
      <c r="H299" s="4">
        <v>250</v>
      </c>
      <c r="I299" s="4">
        <v>20</v>
      </c>
      <c r="J299" s="4">
        <f t="shared" si="33"/>
        <v>22460</v>
      </c>
      <c r="K299" s="4">
        <v>1347.6</v>
      </c>
      <c r="L299" s="4">
        <f t="shared" si="34"/>
        <v>21112.400000000001</v>
      </c>
      <c r="M299" s="4">
        <v>11230</v>
      </c>
      <c r="N299" s="4">
        <f t="shared" si="35"/>
        <v>9882.4000000000015</v>
      </c>
      <c r="O299" s="16">
        <f t="shared" si="36"/>
        <v>0.46808510638297873</v>
      </c>
      <c r="P299" s="19">
        <v>41579</v>
      </c>
      <c r="Q299" s="5">
        <f t="shared" si="37"/>
        <v>11</v>
      </c>
      <c r="R299" s="3" t="str">
        <f t="shared" si="38"/>
        <v>November</v>
      </c>
      <c r="S299" s="6">
        <f t="shared" si="39"/>
        <v>2013</v>
      </c>
    </row>
    <row r="300" spans="1:19" ht="12.75" x14ac:dyDescent="0.2">
      <c r="A300" s="2" t="s">
        <v>29</v>
      </c>
      <c r="B300" s="2" t="str">
        <f t="shared" si="32"/>
        <v>Small Business</v>
      </c>
      <c r="C300" s="2" t="s">
        <v>16</v>
      </c>
      <c r="D300" s="2" t="str">
        <f>PROPER(Table1[[#This Row],[Country]])</f>
        <v>Canada</v>
      </c>
      <c r="E300" s="3" t="s">
        <v>31</v>
      </c>
      <c r="F300" s="3" t="s">
        <v>34</v>
      </c>
      <c r="G300" s="13">
        <v>2436</v>
      </c>
      <c r="H300" s="4">
        <v>250</v>
      </c>
      <c r="I300" s="4">
        <v>300</v>
      </c>
      <c r="J300" s="4">
        <f t="shared" si="33"/>
        <v>730800</v>
      </c>
      <c r="K300" s="4">
        <v>43848</v>
      </c>
      <c r="L300" s="4">
        <f t="shared" si="34"/>
        <v>686952</v>
      </c>
      <c r="M300" s="4">
        <v>609000</v>
      </c>
      <c r="N300" s="4">
        <f t="shared" si="35"/>
        <v>77952</v>
      </c>
      <c r="O300" s="16">
        <f t="shared" si="36"/>
        <v>0.11347517730496454</v>
      </c>
      <c r="P300" s="19">
        <v>41609</v>
      </c>
      <c r="Q300" s="5">
        <f t="shared" si="37"/>
        <v>12</v>
      </c>
      <c r="R300" s="3" t="str">
        <f t="shared" si="38"/>
        <v>December</v>
      </c>
      <c r="S300" s="6">
        <f t="shared" si="39"/>
        <v>2013</v>
      </c>
    </row>
    <row r="301" spans="1:19" ht="12.75" x14ac:dyDescent="0.2">
      <c r="A301" s="2" t="s">
        <v>25</v>
      </c>
      <c r="B301" s="2" t="str">
        <f t="shared" si="32"/>
        <v>Enterprise</v>
      </c>
      <c r="C301" s="2" t="s">
        <v>21</v>
      </c>
      <c r="D301" s="2" t="str">
        <f>PROPER(Table1[[#This Row],[Country]])</f>
        <v>France</v>
      </c>
      <c r="E301" s="3" t="s">
        <v>32</v>
      </c>
      <c r="F301" s="3" t="s">
        <v>34</v>
      </c>
      <c r="G301" s="13">
        <v>1987.5</v>
      </c>
      <c r="H301" s="4">
        <v>260</v>
      </c>
      <c r="I301" s="4">
        <v>125</v>
      </c>
      <c r="J301" s="4">
        <f t="shared" si="33"/>
        <v>248437.5</v>
      </c>
      <c r="K301" s="4">
        <v>14906.25</v>
      </c>
      <c r="L301" s="4">
        <f t="shared" si="34"/>
        <v>233531.25</v>
      </c>
      <c r="M301" s="4">
        <v>238500</v>
      </c>
      <c r="N301" s="4">
        <f t="shared" si="35"/>
        <v>-4968.75</v>
      </c>
      <c r="O301" s="16">
        <f t="shared" si="36"/>
        <v>-2.1276595744680851E-2</v>
      </c>
      <c r="P301" s="19">
        <v>41640</v>
      </c>
      <c r="Q301" s="5">
        <f t="shared" si="37"/>
        <v>1</v>
      </c>
      <c r="R301" s="3" t="str">
        <f t="shared" si="38"/>
        <v>January</v>
      </c>
      <c r="S301" s="6">
        <f t="shared" si="39"/>
        <v>2014</v>
      </c>
    </row>
    <row r="302" spans="1:19" ht="12.75" x14ac:dyDescent="0.2">
      <c r="A302" s="2" t="s">
        <v>15</v>
      </c>
      <c r="B302" s="2" t="str">
        <f t="shared" si="32"/>
        <v>Government</v>
      </c>
      <c r="C302" s="2" t="s">
        <v>22</v>
      </c>
      <c r="D302" s="2" t="str">
        <f>PROPER(Table1[[#This Row],[Country]])</f>
        <v>Mexico</v>
      </c>
      <c r="E302" s="3" t="s">
        <v>32</v>
      </c>
      <c r="F302" s="3" t="s">
        <v>34</v>
      </c>
      <c r="G302" s="13">
        <v>1679</v>
      </c>
      <c r="H302" s="4">
        <v>260</v>
      </c>
      <c r="I302" s="4">
        <v>350</v>
      </c>
      <c r="J302" s="4">
        <f t="shared" si="33"/>
        <v>587650</v>
      </c>
      <c r="K302" s="4">
        <v>35259</v>
      </c>
      <c r="L302" s="4">
        <f t="shared" si="34"/>
        <v>552391</v>
      </c>
      <c r="M302" s="4">
        <v>436540</v>
      </c>
      <c r="N302" s="4">
        <f t="shared" si="35"/>
        <v>115851</v>
      </c>
      <c r="O302" s="16">
        <f t="shared" si="36"/>
        <v>0.20972644376899696</v>
      </c>
      <c r="P302" s="19">
        <v>41883</v>
      </c>
      <c r="Q302" s="5">
        <f t="shared" si="37"/>
        <v>9</v>
      </c>
      <c r="R302" s="3" t="str">
        <f t="shared" si="38"/>
        <v>September</v>
      </c>
      <c r="S302" s="6">
        <f t="shared" si="39"/>
        <v>2014</v>
      </c>
    </row>
    <row r="303" spans="1:19" ht="12.75" x14ac:dyDescent="0.2">
      <c r="A303" s="2" t="s">
        <v>15</v>
      </c>
      <c r="B303" s="2" t="str">
        <f t="shared" si="32"/>
        <v>Government</v>
      </c>
      <c r="C303" s="2" t="s">
        <v>71</v>
      </c>
      <c r="D303" s="2" t="str">
        <f>PROPER(Table1[[#This Row],[Country]])</f>
        <v>Usa</v>
      </c>
      <c r="E303" s="3" t="s">
        <v>32</v>
      </c>
      <c r="F303" s="3" t="s">
        <v>34</v>
      </c>
      <c r="G303" s="13">
        <v>727</v>
      </c>
      <c r="H303" s="4">
        <v>260</v>
      </c>
      <c r="I303" s="4">
        <v>350</v>
      </c>
      <c r="J303" s="4">
        <f t="shared" si="33"/>
        <v>254450</v>
      </c>
      <c r="K303" s="4">
        <v>15267</v>
      </c>
      <c r="L303" s="4">
        <f t="shared" si="34"/>
        <v>239183</v>
      </c>
      <c r="M303" s="4">
        <v>189020</v>
      </c>
      <c r="N303" s="4">
        <f t="shared" si="35"/>
        <v>50163</v>
      </c>
      <c r="O303" s="16">
        <f t="shared" si="36"/>
        <v>0.20972644376899696</v>
      </c>
      <c r="P303" s="19">
        <v>41548</v>
      </c>
      <c r="Q303" s="5">
        <f t="shared" si="37"/>
        <v>10</v>
      </c>
      <c r="R303" s="3" t="str">
        <f t="shared" si="38"/>
        <v>October</v>
      </c>
      <c r="S303" s="6">
        <f t="shared" si="39"/>
        <v>2013</v>
      </c>
    </row>
    <row r="304" spans="1:19" ht="12.75" x14ac:dyDescent="0.2">
      <c r="A304" s="2" t="s">
        <v>15</v>
      </c>
      <c r="B304" s="2" t="str">
        <f t="shared" si="32"/>
        <v>Government</v>
      </c>
      <c r="C304" s="2" t="s">
        <v>21</v>
      </c>
      <c r="D304" s="2" t="str">
        <f>PROPER(Table1[[#This Row],[Country]])</f>
        <v>France</v>
      </c>
      <c r="E304" s="3" t="s">
        <v>32</v>
      </c>
      <c r="F304" s="3" t="s">
        <v>34</v>
      </c>
      <c r="G304" s="13">
        <v>1403</v>
      </c>
      <c r="H304" s="4">
        <v>260</v>
      </c>
      <c r="I304" s="4">
        <v>7</v>
      </c>
      <c r="J304" s="4">
        <f t="shared" si="33"/>
        <v>9821</v>
      </c>
      <c r="K304" s="4">
        <v>589.26</v>
      </c>
      <c r="L304" s="4">
        <f t="shared" si="34"/>
        <v>9231.74</v>
      </c>
      <c r="M304" s="4">
        <v>7015</v>
      </c>
      <c r="N304" s="4">
        <f t="shared" si="35"/>
        <v>2216.7399999999998</v>
      </c>
      <c r="O304" s="16">
        <f t="shared" si="36"/>
        <v>0.24012158054711244</v>
      </c>
      <c r="P304" s="19">
        <v>41548</v>
      </c>
      <c r="Q304" s="5">
        <f t="shared" si="37"/>
        <v>10</v>
      </c>
      <c r="R304" s="3" t="str">
        <f t="shared" si="38"/>
        <v>October</v>
      </c>
      <c r="S304" s="6">
        <f t="shared" si="39"/>
        <v>2013</v>
      </c>
    </row>
    <row r="305" spans="1:19" ht="12.75" x14ac:dyDescent="0.2">
      <c r="A305" s="2" t="s">
        <v>15</v>
      </c>
      <c r="B305" s="2" t="str">
        <f t="shared" si="32"/>
        <v>Government</v>
      </c>
      <c r="C305" s="2" t="s">
        <v>21</v>
      </c>
      <c r="D305" s="2" t="str">
        <f>PROPER(Table1[[#This Row],[Country]])</f>
        <v>France</v>
      </c>
      <c r="E305" s="3" t="s">
        <v>32</v>
      </c>
      <c r="F305" s="3" t="s">
        <v>34</v>
      </c>
      <c r="G305" s="13">
        <v>2076</v>
      </c>
      <c r="H305" s="4">
        <v>260</v>
      </c>
      <c r="I305" s="4">
        <v>350</v>
      </c>
      <c r="J305" s="4">
        <f t="shared" si="33"/>
        <v>726600</v>
      </c>
      <c r="K305" s="4">
        <v>43596</v>
      </c>
      <c r="L305" s="4">
        <f t="shared" si="34"/>
        <v>683004</v>
      </c>
      <c r="M305" s="4">
        <v>539760</v>
      </c>
      <c r="N305" s="4">
        <f t="shared" si="35"/>
        <v>143244</v>
      </c>
      <c r="O305" s="16">
        <f t="shared" si="36"/>
        <v>0.20972644376899696</v>
      </c>
      <c r="P305" s="19">
        <v>41548</v>
      </c>
      <c r="Q305" s="5">
        <f t="shared" si="37"/>
        <v>10</v>
      </c>
      <c r="R305" s="3" t="str">
        <f t="shared" si="38"/>
        <v>October</v>
      </c>
      <c r="S305" s="6">
        <f t="shared" si="39"/>
        <v>2013</v>
      </c>
    </row>
    <row r="306" spans="1:19" ht="12.75" x14ac:dyDescent="0.2">
      <c r="A306" s="2" t="s">
        <v>15</v>
      </c>
      <c r="B306" s="2" t="str">
        <f t="shared" si="32"/>
        <v>Government</v>
      </c>
      <c r="C306" s="2" t="s">
        <v>21</v>
      </c>
      <c r="D306" s="2" t="str">
        <f>PROPER(Table1[[#This Row],[Country]])</f>
        <v>France</v>
      </c>
      <c r="E306" s="3" t="s">
        <v>23</v>
      </c>
      <c r="F306" s="3" t="s">
        <v>34</v>
      </c>
      <c r="G306" s="13">
        <v>1757</v>
      </c>
      <c r="H306" s="4">
        <v>5</v>
      </c>
      <c r="I306" s="4">
        <v>20</v>
      </c>
      <c r="J306" s="4">
        <f t="shared" si="33"/>
        <v>35140</v>
      </c>
      <c r="K306" s="4">
        <v>2108.4</v>
      </c>
      <c r="L306" s="4">
        <f t="shared" si="34"/>
        <v>33031.599999999999</v>
      </c>
      <c r="M306" s="4">
        <v>17570</v>
      </c>
      <c r="N306" s="4">
        <f t="shared" si="35"/>
        <v>15461.599999999999</v>
      </c>
      <c r="O306" s="16">
        <f t="shared" si="36"/>
        <v>0.46808510638297868</v>
      </c>
      <c r="P306" s="19">
        <v>41548</v>
      </c>
      <c r="Q306" s="5">
        <f t="shared" si="37"/>
        <v>10</v>
      </c>
      <c r="R306" s="3" t="str">
        <f t="shared" si="38"/>
        <v>October</v>
      </c>
      <c r="S306" s="6">
        <f t="shared" si="39"/>
        <v>2013</v>
      </c>
    </row>
    <row r="307" spans="1:19" ht="12.75" x14ac:dyDescent="0.2">
      <c r="A307" s="2" t="s">
        <v>20</v>
      </c>
      <c r="B307" s="2" t="str">
        <f t="shared" si="32"/>
        <v>Midmarket</v>
      </c>
      <c r="C307" s="2" t="s">
        <v>71</v>
      </c>
      <c r="D307" s="2" t="str">
        <f>PROPER(Table1[[#This Row],[Country]])</f>
        <v>Usa</v>
      </c>
      <c r="E307" s="3" t="s">
        <v>28</v>
      </c>
      <c r="F307" s="3" t="s">
        <v>34</v>
      </c>
      <c r="G307" s="13">
        <v>2198</v>
      </c>
      <c r="H307" s="4">
        <v>10</v>
      </c>
      <c r="I307" s="4">
        <v>15</v>
      </c>
      <c r="J307" s="4">
        <f t="shared" si="33"/>
        <v>32970</v>
      </c>
      <c r="K307" s="4">
        <v>1978.2</v>
      </c>
      <c r="L307" s="4">
        <f t="shared" si="34"/>
        <v>30991.8</v>
      </c>
      <c r="M307" s="4">
        <v>21980</v>
      </c>
      <c r="N307" s="4">
        <f t="shared" si="35"/>
        <v>9011.7999999999993</v>
      </c>
      <c r="O307" s="16">
        <f t="shared" si="36"/>
        <v>0.29078014184397161</v>
      </c>
      <c r="P307" s="19">
        <v>41852</v>
      </c>
      <c r="Q307" s="5">
        <f t="shared" si="37"/>
        <v>8</v>
      </c>
      <c r="R307" s="3" t="str">
        <f t="shared" si="38"/>
        <v>August</v>
      </c>
      <c r="S307" s="6">
        <f t="shared" si="39"/>
        <v>2014</v>
      </c>
    </row>
    <row r="308" spans="1:19" ht="12.75" x14ac:dyDescent="0.2">
      <c r="A308" s="2" t="s">
        <v>20</v>
      </c>
      <c r="B308" s="2" t="str">
        <f t="shared" si="32"/>
        <v>Midmarket</v>
      </c>
      <c r="C308" s="2" t="s">
        <v>19</v>
      </c>
      <c r="D308" s="2" t="str">
        <f>PROPER(Table1[[#This Row],[Country]])</f>
        <v>Germany</v>
      </c>
      <c r="E308" s="3" t="s">
        <v>28</v>
      </c>
      <c r="F308" s="3" t="s">
        <v>34</v>
      </c>
      <c r="G308" s="13">
        <v>1743</v>
      </c>
      <c r="H308" s="4">
        <v>10</v>
      </c>
      <c r="I308" s="4">
        <v>15</v>
      </c>
      <c r="J308" s="4">
        <f t="shared" si="33"/>
        <v>26145</v>
      </c>
      <c r="K308" s="4">
        <v>1568.7</v>
      </c>
      <c r="L308" s="4">
        <f t="shared" si="34"/>
        <v>24576.3</v>
      </c>
      <c r="M308" s="4">
        <v>17430</v>
      </c>
      <c r="N308" s="4">
        <f t="shared" si="35"/>
        <v>7146.2999999999993</v>
      </c>
      <c r="O308" s="16">
        <f t="shared" si="36"/>
        <v>0.29078014184397161</v>
      </c>
      <c r="P308" s="19">
        <v>41852</v>
      </c>
      <c r="Q308" s="5">
        <f t="shared" si="37"/>
        <v>8</v>
      </c>
      <c r="R308" s="3" t="str">
        <f t="shared" si="38"/>
        <v>August</v>
      </c>
      <c r="S308" s="6">
        <f t="shared" si="39"/>
        <v>2014</v>
      </c>
    </row>
    <row r="309" spans="1:19" ht="12.75" x14ac:dyDescent="0.2">
      <c r="A309" s="2" t="s">
        <v>20</v>
      </c>
      <c r="B309" s="2" t="str">
        <f t="shared" si="32"/>
        <v>Midmarket</v>
      </c>
      <c r="C309" s="2" t="s">
        <v>71</v>
      </c>
      <c r="D309" s="2" t="str">
        <f>PROPER(Table1[[#This Row],[Country]])</f>
        <v>Usa</v>
      </c>
      <c r="E309" s="3" t="s">
        <v>28</v>
      </c>
      <c r="F309" s="3" t="s">
        <v>34</v>
      </c>
      <c r="G309" s="13">
        <v>1153</v>
      </c>
      <c r="H309" s="4">
        <v>10</v>
      </c>
      <c r="I309" s="4">
        <v>15</v>
      </c>
      <c r="J309" s="4">
        <f t="shared" si="33"/>
        <v>17295</v>
      </c>
      <c r="K309" s="4">
        <v>1037.7</v>
      </c>
      <c r="L309" s="4">
        <f t="shared" si="34"/>
        <v>16257.3</v>
      </c>
      <c r="M309" s="4">
        <v>11530</v>
      </c>
      <c r="N309" s="4">
        <f t="shared" si="35"/>
        <v>4727.2999999999993</v>
      </c>
      <c r="O309" s="16">
        <f t="shared" si="36"/>
        <v>0.29078014184397161</v>
      </c>
      <c r="P309" s="19">
        <v>41913</v>
      </c>
      <c r="Q309" s="5">
        <f t="shared" si="37"/>
        <v>10</v>
      </c>
      <c r="R309" s="3" t="str">
        <f t="shared" si="38"/>
        <v>October</v>
      </c>
      <c r="S309" s="6">
        <f t="shared" si="39"/>
        <v>2014</v>
      </c>
    </row>
    <row r="310" spans="1:19" ht="12.75" x14ac:dyDescent="0.2">
      <c r="A310" s="2" t="s">
        <v>15</v>
      </c>
      <c r="B310" s="2" t="str">
        <f t="shared" si="32"/>
        <v>Government</v>
      </c>
      <c r="C310" s="2" t="s">
        <v>21</v>
      </c>
      <c r="D310" s="2" t="str">
        <f>PROPER(Table1[[#This Row],[Country]])</f>
        <v>France</v>
      </c>
      <c r="E310" s="3" t="s">
        <v>28</v>
      </c>
      <c r="F310" s="3" t="s">
        <v>34</v>
      </c>
      <c r="G310" s="13">
        <v>1757</v>
      </c>
      <c r="H310" s="4">
        <v>10</v>
      </c>
      <c r="I310" s="4">
        <v>20</v>
      </c>
      <c r="J310" s="4">
        <f t="shared" si="33"/>
        <v>35140</v>
      </c>
      <c r="K310" s="4">
        <v>2108.4</v>
      </c>
      <c r="L310" s="4">
        <f t="shared" si="34"/>
        <v>33031.599999999999</v>
      </c>
      <c r="M310" s="4">
        <v>17570</v>
      </c>
      <c r="N310" s="4">
        <f t="shared" si="35"/>
        <v>15461.599999999999</v>
      </c>
      <c r="O310" s="16">
        <f t="shared" si="36"/>
        <v>0.46808510638297868</v>
      </c>
      <c r="P310" s="19">
        <v>41548</v>
      </c>
      <c r="Q310" s="5">
        <f t="shared" si="37"/>
        <v>10</v>
      </c>
      <c r="R310" s="3" t="str">
        <f t="shared" si="38"/>
        <v>October</v>
      </c>
      <c r="S310" s="6">
        <f t="shared" si="39"/>
        <v>2013</v>
      </c>
    </row>
    <row r="311" spans="1:19" ht="12.75" x14ac:dyDescent="0.2">
      <c r="A311" s="2" t="s">
        <v>15</v>
      </c>
      <c r="B311" s="2" t="str">
        <f t="shared" si="32"/>
        <v>Government</v>
      </c>
      <c r="C311" s="2" t="s">
        <v>19</v>
      </c>
      <c r="D311" s="2" t="str">
        <f>PROPER(Table1[[#This Row],[Country]])</f>
        <v>Germany</v>
      </c>
      <c r="E311" s="3" t="s">
        <v>30</v>
      </c>
      <c r="F311" s="3" t="s">
        <v>34</v>
      </c>
      <c r="G311" s="13">
        <v>1001</v>
      </c>
      <c r="H311" s="4">
        <v>120</v>
      </c>
      <c r="I311" s="4">
        <v>20</v>
      </c>
      <c r="J311" s="4">
        <f t="shared" si="33"/>
        <v>20020</v>
      </c>
      <c r="K311" s="4">
        <v>1201.2</v>
      </c>
      <c r="L311" s="4">
        <f t="shared" si="34"/>
        <v>18818.8</v>
      </c>
      <c r="M311" s="4">
        <v>10010</v>
      </c>
      <c r="N311" s="4">
        <f t="shared" si="35"/>
        <v>8808.7999999999993</v>
      </c>
      <c r="O311" s="16">
        <f t="shared" si="36"/>
        <v>0.46808510638297868</v>
      </c>
      <c r="P311" s="19">
        <v>41852</v>
      </c>
      <c r="Q311" s="5">
        <f t="shared" si="37"/>
        <v>8</v>
      </c>
      <c r="R311" s="3" t="str">
        <f t="shared" si="38"/>
        <v>August</v>
      </c>
      <c r="S311" s="6">
        <f t="shared" si="39"/>
        <v>2014</v>
      </c>
    </row>
    <row r="312" spans="1:19" ht="12.75" x14ac:dyDescent="0.2">
      <c r="A312" s="2" t="s">
        <v>15</v>
      </c>
      <c r="B312" s="2" t="str">
        <f t="shared" si="32"/>
        <v>Government</v>
      </c>
      <c r="C312" s="2" t="s">
        <v>22</v>
      </c>
      <c r="D312" s="2" t="str">
        <f>PROPER(Table1[[#This Row],[Country]])</f>
        <v>Mexico</v>
      </c>
      <c r="E312" s="3" t="s">
        <v>30</v>
      </c>
      <c r="F312" s="3" t="s">
        <v>34</v>
      </c>
      <c r="G312" s="13">
        <v>1333</v>
      </c>
      <c r="H312" s="4">
        <v>120</v>
      </c>
      <c r="I312" s="4">
        <v>7</v>
      </c>
      <c r="J312" s="4">
        <f t="shared" si="33"/>
        <v>9331</v>
      </c>
      <c r="K312" s="4">
        <v>559.86</v>
      </c>
      <c r="L312" s="4">
        <f t="shared" si="34"/>
        <v>8771.14</v>
      </c>
      <c r="M312" s="4">
        <v>6665</v>
      </c>
      <c r="N312" s="4">
        <f t="shared" si="35"/>
        <v>2106.1399999999994</v>
      </c>
      <c r="O312" s="16">
        <f t="shared" si="36"/>
        <v>0.24012158054711241</v>
      </c>
      <c r="P312" s="19">
        <v>41944</v>
      </c>
      <c r="Q312" s="5">
        <f t="shared" si="37"/>
        <v>11</v>
      </c>
      <c r="R312" s="3" t="str">
        <f t="shared" si="38"/>
        <v>November</v>
      </c>
      <c r="S312" s="6">
        <f t="shared" si="39"/>
        <v>2014</v>
      </c>
    </row>
    <row r="313" spans="1:19" ht="12.75" x14ac:dyDescent="0.2">
      <c r="A313" s="2" t="s">
        <v>20</v>
      </c>
      <c r="B313" s="2" t="str">
        <f t="shared" si="32"/>
        <v>Midmarket</v>
      </c>
      <c r="C313" s="2" t="s">
        <v>71</v>
      </c>
      <c r="D313" s="2" t="str">
        <f>PROPER(Table1[[#This Row],[Country]])</f>
        <v>Usa</v>
      </c>
      <c r="E313" s="3" t="s">
        <v>31</v>
      </c>
      <c r="F313" s="3" t="s">
        <v>34</v>
      </c>
      <c r="G313" s="13">
        <v>1153</v>
      </c>
      <c r="H313" s="4">
        <v>250</v>
      </c>
      <c r="I313" s="4">
        <v>15</v>
      </c>
      <c r="J313" s="4">
        <f t="shared" si="33"/>
        <v>17295</v>
      </c>
      <c r="K313" s="4">
        <v>1037.7</v>
      </c>
      <c r="L313" s="4">
        <f t="shared" si="34"/>
        <v>16257.3</v>
      </c>
      <c r="M313" s="4">
        <v>11530</v>
      </c>
      <c r="N313" s="4">
        <f t="shared" si="35"/>
        <v>4727.2999999999993</v>
      </c>
      <c r="O313" s="16">
        <f t="shared" si="36"/>
        <v>0.29078014184397161</v>
      </c>
      <c r="P313" s="19">
        <v>41913</v>
      </c>
      <c r="Q313" s="5">
        <f t="shared" si="37"/>
        <v>10</v>
      </c>
      <c r="R313" s="3" t="str">
        <f t="shared" si="38"/>
        <v>October</v>
      </c>
      <c r="S313" s="6">
        <f t="shared" si="39"/>
        <v>2014</v>
      </c>
    </row>
    <row r="314" spans="1:19" ht="12.75" x14ac:dyDescent="0.2">
      <c r="A314" s="2" t="s">
        <v>24</v>
      </c>
      <c r="B314" s="2" t="str">
        <f t="shared" si="32"/>
        <v>Channel Partners</v>
      </c>
      <c r="C314" s="2" t="s">
        <v>22</v>
      </c>
      <c r="D314" s="2" t="str">
        <f>PROPER(Table1[[#This Row],[Country]])</f>
        <v>Mexico</v>
      </c>
      <c r="E314" s="3" t="s">
        <v>17</v>
      </c>
      <c r="F314" s="3" t="s">
        <v>34</v>
      </c>
      <c r="G314" s="13">
        <v>727</v>
      </c>
      <c r="H314" s="4">
        <v>3</v>
      </c>
      <c r="I314" s="4">
        <v>12</v>
      </c>
      <c r="J314" s="4">
        <f t="shared" si="33"/>
        <v>8724</v>
      </c>
      <c r="K314" s="4">
        <v>610.67999999999995</v>
      </c>
      <c r="L314" s="4">
        <f t="shared" si="34"/>
        <v>8113.32</v>
      </c>
      <c r="M314" s="4">
        <v>2181</v>
      </c>
      <c r="N314" s="4">
        <f t="shared" si="35"/>
        <v>5932.32</v>
      </c>
      <c r="O314" s="16">
        <f t="shared" si="36"/>
        <v>0.73118279569892475</v>
      </c>
      <c r="P314" s="19">
        <v>41671</v>
      </c>
      <c r="Q314" s="5">
        <f t="shared" si="37"/>
        <v>2</v>
      </c>
      <c r="R314" s="3" t="str">
        <f t="shared" si="38"/>
        <v>February</v>
      </c>
      <c r="S314" s="6">
        <f t="shared" si="39"/>
        <v>2014</v>
      </c>
    </row>
    <row r="315" spans="1:19" ht="12.75" x14ac:dyDescent="0.2">
      <c r="A315" s="2" t="s">
        <v>24</v>
      </c>
      <c r="B315" s="2" t="str">
        <f t="shared" si="32"/>
        <v>Channel Partners</v>
      </c>
      <c r="C315" s="2" t="s">
        <v>16</v>
      </c>
      <c r="D315" s="2" t="str">
        <f>PROPER(Table1[[#This Row],[Country]])</f>
        <v>Canada</v>
      </c>
      <c r="E315" s="3" t="s">
        <v>17</v>
      </c>
      <c r="F315" s="3" t="s">
        <v>34</v>
      </c>
      <c r="G315" s="13">
        <v>1884</v>
      </c>
      <c r="H315" s="4">
        <v>3</v>
      </c>
      <c r="I315" s="4">
        <v>12</v>
      </c>
      <c r="J315" s="4">
        <f t="shared" si="33"/>
        <v>22608</v>
      </c>
      <c r="K315" s="4">
        <v>1582.56</v>
      </c>
      <c r="L315" s="4">
        <f t="shared" si="34"/>
        <v>21025.439999999999</v>
      </c>
      <c r="M315" s="4">
        <v>5652</v>
      </c>
      <c r="N315" s="4">
        <f t="shared" si="35"/>
        <v>15373.439999999999</v>
      </c>
      <c r="O315" s="16">
        <f t="shared" si="36"/>
        <v>0.73118279569892475</v>
      </c>
      <c r="P315" s="19">
        <v>41852</v>
      </c>
      <c r="Q315" s="5">
        <f t="shared" si="37"/>
        <v>8</v>
      </c>
      <c r="R315" s="3" t="str">
        <f t="shared" si="38"/>
        <v>August</v>
      </c>
      <c r="S315" s="6">
        <f t="shared" si="39"/>
        <v>2014</v>
      </c>
    </row>
    <row r="316" spans="1:19" ht="12.75" x14ac:dyDescent="0.2">
      <c r="A316" s="2" t="s">
        <v>15</v>
      </c>
      <c r="B316" s="2" t="str">
        <f t="shared" si="32"/>
        <v>Government</v>
      </c>
      <c r="C316" s="2" t="s">
        <v>22</v>
      </c>
      <c r="D316" s="2" t="str">
        <f>PROPER(Table1[[#This Row],[Country]])</f>
        <v>Mexico</v>
      </c>
      <c r="E316" s="3" t="s">
        <v>17</v>
      </c>
      <c r="F316" s="3" t="s">
        <v>34</v>
      </c>
      <c r="G316" s="13">
        <v>1834</v>
      </c>
      <c r="H316" s="4">
        <v>3</v>
      </c>
      <c r="I316" s="4">
        <v>20</v>
      </c>
      <c r="J316" s="4">
        <f t="shared" si="33"/>
        <v>36680</v>
      </c>
      <c r="K316" s="4">
        <v>2567.6</v>
      </c>
      <c r="L316" s="4">
        <f t="shared" si="34"/>
        <v>34112.400000000001</v>
      </c>
      <c r="M316" s="4">
        <v>18340</v>
      </c>
      <c r="N316" s="4">
        <f t="shared" si="35"/>
        <v>15772.400000000001</v>
      </c>
      <c r="O316" s="16">
        <f t="shared" si="36"/>
        <v>0.4623655913978495</v>
      </c>
      <c r="P316" s="19">
        <v>41518</v>
      </c>
      <c r="Q316" s="5">
        <f t="shared" si="37"/>
        <v>9</v>
      </c>
      <c r="R316" s="3" t="str">
        <f t="shared" si="38"/>
        <v>September</v>
      </c>
      <c r="S316" s="6">
        <f t="shared" si="39"/>
        <v>2013</v>
      </c>
    </row>
    <row r="317" spans="1:19" ht="12.75" x14ac:dyDescent="0.2">
      <c r="A317" s="2" t="s">
        <v>24</v>
      </c>
      <c r="B317" s="2" t="str">
        <f t="shared" si="32"/>
        <v>Channel Partners</v>
      </c>
      <c r="C317" s="2" t="s">
        <v>22</v>
      </c>
      <c r="D317" s="2" t="str">
        <f>PROPER(Table1[[#This Row],[Country]])</f>
        <v>Mexico</v>
      </c>
      <c r="E317" s="3" t="s">
        <v>23</v>
      </c>
      <c r="F317" s="3" t="s">
        <v>34</v>
      </c>
      <c r="G317" s="13">
        <v>2340</v>
      </c>
      <c r="H317" s="4">
        <v>5</v>
      </c>
      <c r="I317" s="4">
        <v>12</v>
      </c>
      <c r="J317" s="4">
        <f t="shared" si="33"/>
        <v>28080</v>
      </c>
      <c r="K317" s="4">
        <v>1965.6</v>
      </c>
      <c r="L317" s="4">
        <f t="shared" si="34"/>
        <v>26114.400000000001</v>
      </c>
      <c r="M317" s="4">
        <v>7020</v>
      </c>
      <c r="N317" s="4">
        <f t="shared" si="35"/>
        <v>19094.400000000001</v>
      </c>
      <c r="O317" s="16">
        <f t="shared" si="36"/>
        <v>0.73118279569892475</v>
      </c>
      <c r="P317" s="19">
        <v>41640</v>
      </c>
      <c r="Q317" s="5">
        <f t="shared" si="37"/>
        <v>1</v>
      </c>
      <c r="R317" s="3" t="str">
        <f t="shared" si="38"/>
        <v>January</v>
      </c>
      <c r="S317" s="6">
        <f t="shared" si="39"/>
        <v>2014</v>
      </c>
    </row>
    <row r="318" spans="1:19" ht="12.75" x14ac:dyDescent="0.2">
      <c r="A318" s="2" t="s">
        <v>24</v>
      </c>
      <c r="B318" s="2" t="str">
        <f t="shared" si="32"/>
        <v>Channel Partners</v>
      </c>
      <c r="C318" s="2" t="s">
        <v>21</v>
      </c>
      <c r="D318" s="2" t="str">
        <f>PROPER(Table1[[#This Row],[Country]])</f>
        <v>France</v>
      </c>
      <c r="E318" s="3" t="s">
        <v>23</v>
      </c>
      <c r="F318" s="3" t="s">
        <v>34</v>
      </c>
      <c r="G318" s="13">
        <v>2342</v>
      </c>
      <c r="H318" s="4">
        <v>5</v>
      </c>
      <c r="I318" s="4">
        <v>12</v>
      </c>
      <c r="J318" s="4">
        <f t="shared" si="33"/>
        <v>28104</v>
      </c>
      <c r="K318" s="4">
        <v>1967.28</v>
      </c>
      <c r="L318" s="4">
        <f t="shared" si="34"/>
        <v>26136.720000000001</v>
      </c>
      <c r="M318" s="4">
        <v>7026</v>
      </c>
      <c r="N318" s="4">
        <f t="shared" si="35"/>
        <v>19110.72</v>
      </c>
      <c r="O318" s="16">
        <f t="shared" si="36"/>
        <v>0.73118279569892475</v>
      </c>
      <c r="P318" s="19">
        <v>41944</v>
      </c>
      <c r="Q318" s="5">
        <f t="shared" si="37"/>
        <v>11</v>
      </c>
      <c r="R318" s="3" t="str">
        <f t="shared" si="38"/>
        <v>November</v>
      </c>
      <c r="S318" s="6">
        <f t="shared" si="39"/>
        <v>2014</v>
      </c>
    </row>
    <row r="319" spans="1:19" ht="12.75" x14ac:dyDescent="0.2">
      <c r="A319" s="2" t="s">
        <v>15</v>
      </c>
      <c r="B319" s="2" t="str">
        <f t="shared" si="32"/>
        <v>Government</v>
      </c>
      <c r="C319" s="2" t="s">
        <v>21</v>
      </c>
      <c r="D319" s="2" t="str">
        <f>PROPER(Table1[[#This Row],[Country]])</f>
        <v>France</v>
      </c>
      <c r="E319" s="3" t="s">
        <v>28</v>
      </c>
      <c r="F319" s="3" t="s">
        <v>34</v>
      </c>
      <c r="G319" s="13">
        <v>1031</v>
      </c>
      <c r="H319" s="4">
        <v>10</v>
      </c>
      <c r="I319" s="4">
        <v>7</v>
      </c>
      <c r="J319" s="4">
        <f t="shared" si="33"/>
        <v>7217</v>
      </c>
      <c r="K319" s="4">
        <v>505.19</v>
      </c>
      <c r="L319" s="4">
        <f t="shared" si="34"/>
        <v>6711.81</v>
      </c>
      <c r="M319" s="4">
        <v>5155</v>
      </c>
      <c r="N319" s="4">
        <f t="shared" si="35"/>
        <v>1556.8100000000004</v>
      </c>
      <c r="O319" s="16">
        <f t="shared" si="36"/>
        <v>0.23195084485407072</v>
      </c>
      <c r="P319" s="19">
        <v>41518</v>
      </c>
      <c r="Q319" s="5">
        <f t="shared" si="37"/>
        <v>9</v>
      </c>
      <c r="R319" s="3" t="str">
        <f t="shared" si="38"/>
        <v>September</v>
      </c>
      <c r="S319" s="6">
        <f t="shared" si="39"/>
        <v>2013</v>
      </c>
    </row>
    <row r="320" spans="1:19" ht="12.75" x14ac:dyDescent="0.2">
      <c r="A320" s="2" t="s">
        <v>20</v>
      </c>
      <c r="B320" s="2" t="str">
        <f t="shared" si="32"/>
        <v>Midmarket</v>
      </c>
      <c r="C320" s="2" t="s">
        <v>16</v>
      </c>
      <c r="D320" s="2" t="str">
        <f>PROPER(Table1[[#This Row],[Country]])</f>
        <v>Canada</v>
      </c>
      <c r="E320" s="3" t="s">
        <v>30</v>
      </c>
      <c r="F320" s="3" t="s">
        <v>34</v>
      </c>
      <c r="G320" s="13">
        <v>1262</v>
      </c>
      <c r="H320" s="4">
        <v>120</v>
      </c>
      <c r="I320" s="4">
        <v>15</v>
      </c>
      <c r="J320" s="4">
        <f t="shared" si="33"/>
        <v>18930</v>
      </c>
      <c r="K320" s="4">
        <v>1325.1</v>
      </c>
      <c r="L320" s="4">
        <f t="shared" si="34"/>
        <v>17604.900000000001</v>
      </c>
      <c r="M320" s="4">
        <v>12620</v>
      </c>
      <c r="N320" s="4">
        <f t="shared" si="35"/>
        <v>4984.9000000000015</v>
      </c>
      <c r="O320" s="16">
        <f t="shared" si="36"/>
        <v>0.28315412186379935</v>
      </c>
      <c r="P320" s="19">
        <v>41760</v>
      </c>
      <c r="Q320" s="5">
        <f t="shared" si="37"/>
        <v>5</v>
      </c>
      <c r="R320" s="3" t="str">
        <f t="shared" si="38"/>
        <v>May</v>
      </c>
      <c r="S320" s="6">
        <f t="shared" si="39"/>
        <v>2014</v>
      </c>
    </row>
    <row r="321" spans="1:19" ht="12.75" x14ac:dyDescent="0.2">
      <c r="A321" s="2" t="s">
        <v>15</v>
      </c>
      <c r="B321" s="2" t="str">
        <f t="shared" si="32"/>
        <v>Government</v>
      </c>
      <c r="C321" s="2" t="s">
        <v>16</v>
      </c>
      <c r="D321" s="2" t="str">
        <f>PROPER(Table1[[#This Row],[Country]])</f>
        <v>Canada</v>
      </c>
      <c r="E321" s="3" t="s">
        <v>30</v>
      </c>
      <c r="F321" s="3" t="s">
        <v>34</v>
      </c>
      <c r="G321" s="13">
        <v>1135</v>
      </c>
      <c r="H321" s="4">
        <v>120</v>
      </c>
      <c r="I321" s="4">
        <v>7</v>
      </c>
      <c r="J321" s="4">
        <f t="shared" si="33"/>
        <v>7945</v>
      </c>
      <c r="K321" s="4">
        <v>556.15</v>
      </c>
      <c r="L321" s="4">
        <f t="shared" si="34"/>
        <v>7388.85</v>
      </c>
      <c r="M321" s="4">
        <v>5675</v>
      </c>
      <c r="N321" s="4">
        <f t="shared" si="35"/>
        <v>1713.8500000000004</v>
      </c>
      <c r="O321" s="16">
        <f t="shared" si="36"/>
        <v>0.23195084485407069</v>
      </c>
      <c r="P321" s="19">
        <v>41791</v>
      </c>
      <c r="Q321" s="5">
        <f t="shared" si="37"/>
        <v>6</v>
      </c>
      <c r="R321" s="3" t="str">
        <f t="shared" si="38"/>
        <v>June</v>
      </c>
      <c r="S321" s="6">
        <f t="shared" si="39"/>
        <v>2014</v>
      </c>
    </row>
    <row r="322" spans="1:19" ht="12.75" x14ac:dyDescent="0.2">
      <c r="A322" s="2" t="s">
        <v>15</v>
      </c>
      <c r="B322" s="2" t="str">
        <f t="shared" ref="B322:B385" si="40">PROPER(A322)</f>
        <v>Government</v>
      </c>
      <c r="C322" s="2" t="s">
        <v>71</v>
      </c>
      <c r="D322" s="2" t="str">
        <f>PROPER(Table1[[#This Row],[Country]])</f>
        <v>Usa</v>
      </c>
      <c r="E322" s="3" t="s">
        <v>30</v>
      </c>
      <c r="F322" s="3" t="s">
        <v>34</v>
      </c>
      <c r="G322" s="13">
        <v>547</v>
      </c>
      <c r="H322" s="4">
        <v>120</v>
      </c>
      <c r="I322" s="4">
        <v>7</v>
      </c>
      <c r="J322" s="4">
        <f t="shared" si="33"/>
        <v>3829</v>
      </c>
      <c r="K322" s="4">
        <v>268.02999999999997</v>
      </c>
      <c r="L322" s="4">
        <f t="shared" si="34"/>
        <v>3560.9700000000003</v>
      </c>
      <c r="M322" s="4">
        <v>2735</v>
      </c>
      <c r="N322" s="4">
        <f t="shared" si="35"/>
        <v>825.97000000000025</v>
      </c>
      <c r="O322" s="16">
        <f t="shared" si="36"/>
        <v>0.23195084485407072</v>
      </c>
      <c r="P322" s="19">
        <v>41944</v>
      </c>
      <c r="Q322" s="5">
        <f t="shared" si="37"/>
        <v>11</v>
      </c>
      <c r="R322" s="3" t="str">
        <f t="shared" si="38"/>
        <v>November</v>
      </c>
      <c r="S322" s="6">
        <f t="shared" si="39"/>
        <v>2014</v>
      </c>
    </row>
    <row r="323" spans="1:19" ht="12.75" x14ac:dyDescent="0.2">
      <c r="A323" s="2" t="s">
        <v>15</v>
      </c>
      <c r="B323" s="2" t="str">
        <f t="shared" si="40"/>
        <v>Government</v>
      </c>
      <c r="C323" s="2" t="s">
        <v>16</v>
      </c>
      <c r="D323" s="2" t="str">
        <f>PROPER(Table1[[#This Row],[Country]])</f>
        <v>Canada</v>
      </c>
      <c r="E323" s="3" t="s">
        <v>30</v>
      </c>
      <c r="F323" s="3" t="s">
        <v>34</v>
      </c>
      <c r="G323" s="13">
        <v>1582</v>
      </c>
      <c r="H323" s="4">
        <v>120</v>
      </c>
      <c r="I323" s="4">
        <v>7</v>
      </c>
      <c r="J323" s="4">
        <f t="shared" ref="J323:J386" si="41">G323*I323</f>
        <v>11074</v>
      </c>
      <c r="K323" s="4">
        <v>775.18</v>
      </c>
      <c r="L323" s="4">
        <f t="shared" ref="L323:L386" si="42">J323-K323</f>
        <v>10298.82</v>
      </c>
      <c r="M323" s="4">
        <v>7910</v>
      </c>
      <c r="N323" s="4">
        <f t="shared" ref="N323:N386" si="43">L323-M323</f>
        <v>2388.8199999999997</v>
      </c>
      <c r="O323" s="16">
        <f t="shared" ref="O323:O386" si="44">N323/L323</f>
        <v>0.23195084485407064</v>
      </c>
      <c r="P323" s="19">
        <v>41974</v>
      </c>
      <c r="Q323" s="5">
        <f t="shared" ref="Q323:Q386" si="45">MONTH(P323)</f>
        <v>12</v>
      </c>
      <c r="R323" s="3" t="str">
        <f t="shared" ref="R323:R386" si="46">TEXT(P323,"mmmm")</f>
        <v>December</v>
      </c>
      <c r="S323" s="6">
        <f t="shared" ref="S323:S386" si="47">YEAR(P323)</f>
        <v>2014</v>
      </c>
    </row>
    <row r="324" spans="1:19" ht="12.75" x14ac:dyDescent="0.2">
      <c r="A324" s="2" t="s">
        <v>24</v>
      </c>
      <c r="B324" s="2" t="str">
        <f t="shared" si="40"/>
        <v>Channel Partners</v>
      </c>
      <c r="C324" s="2" t="s">
        <v>21</v>
      </c>
      <c r="D324" s="2" t="str">
        <f>PROPER(Table1[[#This Row],[Country]])</f>
        <v>France</v>
      </c>
      <c r="E324" s="3" t="s">
        <v>31</v>
      </c>
      <c r="F324" s="3" t="s">
        <v>34</v>
      </c>
      <c r="G324" s="13">
        <v>1738.5</v>
      </c>
      <c r="H324" s="4">
        <v>250</v>
      </c>
      <c r="I324" s="4">
        <v>12</v>
      </c>
      <c r="J324" s="4">
        <f t="shared" si="41"/>
        <v>20862</v>
      </c>
      <c r="K324" s="4">
        <v>1460.34</v>
      </c>
      <c r="L324" s="4">
        <f t="shared" si="42"/>
        <v>19401.66</v>
      </c>
      <c r="M324" s="4">
        <v>5215.5</v>
      </c>
      <c r="N324" s="4">
        <f t="shared" si="43"/>
        <v>14186.16</v>
      </c>
      <c r="O324" s="16">
        <f t="shared" si="44"/>
        <v>0.73118279569892475</v>
      </c>
      <c r="P324" s="19">
        <v>41730</v>
      </c>
      <c r="Q324" s="5">
        <f t="shared" si="45"/>
        <v>4</v>
      </c>
      <c r="R324" s="3" t="str">
        <f t="shared" si="46"/>
        <v>April</v>
      </c>
      <c r="S324" s="6">
        <f t="shared" si="47"/>
        <v>2014</v>
      </c>
    </row>
    <row r="325" spans="1:19" ht="12.75" x14ac:dyDescent="0.2">
      <c r="A325" s="2" t="s">
        <v>24</v>
      </c>
      <c r="B325" s="2" t="str">
        <f t="shared" si="40"/>
        <v>Channel Partners</v>
      </c>
      <c r="C325" s="2" t="s">
        <v>19</v>
      </c>
      <c r="D325" s="2" t="str">
        <f>PROPER(Table1[[#This Row],[Country]])</f>
        <v>Germany</v>
      </c>
      <c r="E325" s="3" t="s">
        <v>31</v>
      </c>
      <c r="F325" s="3" t="s">
        <v>34</v>
      </c>
      <c r="G325" s="13">
        <v>2215</v>
      </c>
      <c r="H325" s="4">
        <v>250</v>
      </c>
      <c r="I325" s="4">
        <v>12</v>
      </c>
      <c r="J325" s="4">
        <f t="shared" si="41"/>
        <v>26580</v>
      </c>
      <c r="K325" s="4">
        <v>1860.6</v>
      </c>
      <c r="L325" s="4">
        <f t="shared" si="42"/>
        <v>24719.4</v>
      </c>
      <c r="M325" s="4">
        <v>6645</v>
      </c>
      <c r="N325" s="4">
        <f t="shared" si="43"/>
        <v>18074.400000000001</v>
      </c>
      <c r="O325" s="16">
        <f t="shared" si="44"/>
        <v>0.73118279569892475</v>
      </c>
      <c r="P325" s="19">
        <v>41518</v>
      </c>
      <c r="Q325" s="5">
        <f t="shared" si="45"/>
        <v>9</v>
      </c>
      <c r="R325" s="3" t="str">
        <f t="shared" si="46"/>
        <v>September</v>
      </c>
      <c r="S325" s="6">
        <f t="shared" si="47"/>
        <v>2013</v>
      </c>
    </row>
    <row r="326" spans="1:19" ht="12.75" x14ac:dyDescent="0.2">
      <c r="A326" s="2" t="s">
        <v>15</v>
      </c>
      <c r="B326" s="2" t="str">
        <f t="shared" si="40"/>
        <v>Government</v>
      </c>
      <c r="C326" s="2" t="s">
        <v>16</v>
      </c>
      <c r="D326" s="2" t="str">
        <f>PROPER(Table1[[#This Row],[Country]])</f>
        <v>Canada</v>
      </c>
      <c r="E326" s="3" t="s">
        <v>31</v>
      </c>
      <c r="F326" s="3" t="s">
        <v>34</v>
      </c>
      <c r="G326" s="13">
        <v>1582</v>
      </c>
      <c r="H326" s="4">
        <v>250</v>
      </c>
      <c r="I326" s="4">
        <v>7</v>
      </c>
      <c r="J326" s="4">
        <f t="shared" si="41"/>
        <v>11074</v>
      </c>
      <c r="K326" s="4">
        <v>775.18</v>
      </c>
      <c r="L326" s="4">
        <f t="shared" si="42"/>
        <v>10298.82</v>
      </c>
      <c r="M326" s="4">
        <v>7910</v>
      </c>
      <c r="N326" s="4">
        <f t="shared" si="43"/>
        <v>2388.8199999999997</v>
      </c>
      <c r="O326" s="16">
        <f t="shared" si="44"/>
        <v>0.23195084485407064</v>
      </c>
      <c r="P326" s="19">
        <v>41974</v>
      </c>
      <c r="Q326" s="5">
        <f t="shared" si="45"/>
        <v>12</v>
      </c>
      <c r="R326" s="3" t="str">
        <f t="shared" si="46"/>
        <v>December</v>
      </c>
      <c r="S326" s="6">
        <f t="shared" si="47"/>
        <v>2014</v>
      </c>
    </row>
    <row r="327" spans="1:19" ht="12.75" x14ac:dyDescent="0.2">
      <c r="A327" s="2" t="s">
        <v>15</v>
      </c>
      <c r="B327" s="2" t="str">
        <f t="shared" si="40"/>
        <v>Government</v>
      </c>
      <c r="C327" s="2" t="s">
        <v>16</v>
      </c>
      <c r="D327" s="2" t="str">
        <f>PROPER(Table1[[#This Row],[Country]])</f>
        <v>Canada</v>
      </c>
      <c r="E327" s="3" t="s">
        <v>32</v>
      </c>
      <c r="F327" s="3" t="s">
        <v>34</v>
      </c>
      <c r="G327" s="13">
        <v>1135</v>
      </c>
      <c r="H327" s="4">
        <v>260</v>
      </c>
      <c r="I327" s="4">
        <v>7</v>
      </c>
      <c r="J327" s="4">
        <f t="shared" si="41"/>
        <v>7945</v>
      </c>
      <c r="K327" s="4">
        <v>556.15</v>
      </c>
      <c r="L327" s="4">
        <f t="shared" si="42"/>
        <v>7388.85</v>
      </c>
      <c r="M327" s="4">
        <v>5675</v>
      </c>
      <c r="N327" s="4">
        <f t="shared" si="43"/>
        <v>1713.8500000000004</v>
      </c>
      <c r="O327" s="16">
        <f t="shared" si="44"/>
        <v>0.23195084485407069</v>
      </c>
      <c r="P327" s="19">
        <v>41791</v>
      </c>
      <c r="Q327" s="5">
        <f t="shared" si="45"/>
        <v>6</v>
      </c>
      <c r="R327" s="3" t="str">
        <f t="shared" si="46"/>
        <v>June</v>
      </c>
      <c r="S327" s="6">
        <f t="shared" si="47"/>
        <v>2014</v>
      </c>
    </row>
    <row r="328" spans="1:19" ht="12.75" x14ac:dyDescent="0.2">
      <c r="A328" s="2" t="s">
        <v>15</v>
      </c>
      <c r="B328" s="2" t="str">
        <f t="shared" si="40"/>
        <v>Government</v>
      </c>
      <c r="C328" s="2" t="s">
        <v>71</v>
      </c>
      <c r="D328" s="2" t="str">
        <f>PROPER(Table1[[#This Row],[Country]])</f>
        <v>Usa</v>
      </c>
      <c r="E328" s="3" t="s">
        <v>17</v>
      </c>
      <c r="F328" s="3" t="s">
        <v>34</v>
      </c>
      <c r="G328" s="13">
        <v>1761</v>
      </c>
      <c r="H328" s="4">
        <v>3</v>
      </c>
      <c r="I328" s="4">
        <v>350</v>
      </c>
      <c r="J328" s="4">
        <f t="shared" si="41"/>
        <v>616350</v>
      </c>
      <c r="K328" s="4">
        <v>43144.5</v>
      </c>
      <c r="L328" s="4">
        <f t="shared" si="42"/>
        <v>573205.5</v>
      </c>
      <c r="M328" s="4">
        <v>457860</v>
      </c>
      <c r="N328" s="4">
        <f t="shared" si="43"/>
        <v>115345.5</v>
      </c>
      <c r="O328" s="16">
        <f t="shared" si="44"/>
        <v>0.20122887864823349</v>
      </c>
      <c r="P328" s="19">
        <v>41699</v>
      </c>
      <c r="Q328" s="5">
        <f t="shared" si="45"/>
        <v>3</v>
      </c>
      <c r="R328" s="3" t="str">
        <f t="shared" si="46"/>
        <v>March</v>
      </c>
      <c r="S328" s="6">
        <f t="shared" si="47"/>
        <v>2014</v>
      </c>
    </row>
    <row r="329" spans="1:19" ht="12.75" x14ac:dyDescent="0.2">
      <c r="A329" s="2" t="s">
        <v>29</v>
      </c>
      <c r="B329" s="2" t="str">
        <f t="shared" si="40"/>
        <v>Small Business</v>
      </c>
      <c r="C329" s="2" t="s">
        <v>21</v>
      </c>
      <c r="D329" s="2" t="str">
        <f>PROPER(Table1[[#This Row],[Country]])</f>
        <v>France</v>
      </c>
      <c r="E329" s="3" t="s">
        <v>17</v>
      </c>
      <c r="F329" s="3" t="s">
        <v>34</v>
      </c>
      <c r="G329" s="13">
        <v>448</v>
      </c>
      <c r="H329" s="4">
        <v>3</v>
      </c>
      <c r="I329" s="4">
        <v>300</v>
      </c>
      <c r="J329" s="4">
        <f t="shared" si="41"/>
        <v>134400</v>
      </c>
      <c r="K329" s="4">
        <v>9408</v>
      </c>
      <c r="L329" s="4">
        <f t="shared" si="42"/>
        <v>124992</v>
      </c>
      <c r="M329" s="4">
        <v>112000</v>
      </c>
      <c r="N329" s="4">
        <f t="shared" si="43"/>
        <v>12992</v>
      </c>
      <c r="O329" s="16">
        <f t="shared" si="44"/>
        <v>0.1039426523297491</v>
      </c>
      <c r="P329" s="19">
        <v>41791</v>
      </c>
      <c r="Q329" s="5">
        <f t="shared" si="45"/>
        <v>6</v>
      </c>
      <c r="R329" s="3" t="str">
        <f t="shared" si="46"/>
        <v>June</v>
      </c>
      <c r="S329" s="6">
        <f t="shared" si="47"/>
        <v>2014</v>
      </c>
    </row>
    <row r="330" spans="1:19" ht="12.75" x14ac:dyDescent="0.2">
      <c r="A330" s="2" t="s">
        <v>29</v>
      </c>
      <c r="B330" s="2" t="str">
        <f t="shared" si="40"/>
        <v>Small Business</v>
      </c>
      <c r="C330" s="2" t="s">
        <v>21</v>
      </c>
      <c r="D330" s="2" t="str">
        <f>PROPER(Table1[[#This Row],[Country]])</f>
        <v>France</v>
      </c>
      <c r="E330" s="3" t="s">
        <v>17</v>
      </c>
      <c r="F330" s="3" t="s">
        <v>34</v>
      </c>
      <c r="G330" s="13">
        <v>2181</v>
      </c>
      <c r="H330" s="4">
        <v>3</v>
      </c>
      <c r="I330" s="4">
        <v>300</v>
      </c>
      <c r="J330" s="4">
        <f t="shared" si="41"/>
        <v>654300</v>
      </c>
      <c r="K330" s="4">
        <v>45801</v>
      </c>
      <c r="L330" s="4">
        <f t="shared" si="42"/>
        <v>608499</v>
      </c>
      <c r="M330" s="4">
        <v>545250</v>
      </c>
      <c r="N330" s="4">
        <f t="shared" si="43"/>
        <v>63249</v>
      </c>
      <c r="O330" s="16">
        <f t="shared" si="44"/>
        <v>0.1039426523297491</v>
      </c>
      <c r="P330" s="19">
        <v>41913</v>
      </c>
      <c r="Q330" s="5">
        <f t="shared" si="45"/>
        <v>10</v>
      </c>
      <c r="R330" s="3" t="str">
        <f t="shared" si="46"/>
        <v>October</v>
      </c>
      <c r="S330" s="6">
        <f t="shared" si="47"/>
        <v>2014</v>
      </c>
    </row>
    <row r="331" spans="1:19" ht="12.75" x14ac:dyDescent="0.2">
      <c r="A331" s="2" t="s">
        <v>15</v>
      </c>
      <c r="B331" s="2" t="str">
        <f t="shared" si="40"/>
        <v>Government</v>
      </c>
      <c r="C331" s="2" t="s">
        <v>21</v>
      </c>
      <c r="D331" s="2" t="str">
        <f>PROPER(Table1[[#This Row],[Country]])</f>
        <v>France</v>
      </c>
      <c r="E331" s="3" t="s">
        <v>23</v>
      </c>
      <c r="F331" s="3" t="s">
        <v>34</v>
      </c>
      <c r="G331" s="13">
        <v>1976</v>
      </c>
      <c r="H331" s="4">
        <v>5</v>
      </c>
      <c r="I331" s="4">
        <v>20</v>
      </c>
      <c r="J331" s="4">
        <f t="shared" si="41"/>
        <v>39520</v>
      </c>
      <c r="K331" s="4">
        <v>2766.4</v>
      </c>
      <c r="L331" s="4">
        <f t="shared" si="42"/>
        <v>36753.599999999999</v>
      </c>
      <c r="M331" s="4">
        <v>19760</v>
      </c>
      <c r="N331" s="4">
        <f t="shared" si="43"/>
        <v>16993.599999999999</v>
      </c>
      <c r="O331" s="16">
        <f t="shared" si="44"/>
        <v>0.46236559139784944</v>
      </c>
      <c r="P331" s="19">
        <v>41913</v>
      </c>
      <c r="Q331" s="5">
        <f t="shared" si="45"/>
        <v>10</v>
      </c>
      <c r="R331" s="3" t="str">
        <f t="shared" si="46"/>
        <v>October</v>
      </c>
      <c r="S331" s="6">
        <f t="shared" si="47"/>
        <v>2014</v>
      </c>
    </row>
    <row r="332" spans="1:19" ht="12.75" x14ac:dyDescent="0.2">
      <c r="A332" s="2" t="s">
        <v>29</v>
      </c>
      <c r="B332" s="2" t="str">
        <f t="shared" si="40"/>
        <v>Small Business</v>
      </c>
      <c r="C332" s="2" t="s">
        <v>21</v>
      </c>
      <c r="D332" s="2" t="str">
        <f>PROPER(Table1[[#This Row],[Country]])</f>
        <v>France</v>
      </c>
      <c r="E332" s="3" t="s">
        <v>23</v>
      </c>
      <c r="F332" s="3" t="s">
        <v>34</v>
      </c>
      <c r="G332" s="13">
        <v>2181</v>
      </c>
      <c r="H332" s="4">
        <v>5</v>
      </c>
      <c r="I332" s="4">
        <v>300</v>
      </c>
      <c r="J332" s="4">
        <f t="shared" si="41"/>
        <v>654300</v>
      </c>
      <c r="K332" s="4">
        <v>45801</v>
      </c>
      <c r="L332" s="4">
        <f t="shared" si="42"/>
        <v>608499</v>
      </c>
      <c r="M332" s="4">
        <v>545250</v>
      </c>
      <c r="N332" s="4">
        <f t="shared" si="43"/>
        <v>63249</v>
      </c>
      <c r="O332" s="16">
        <f t="shared" si="44"/>
        <v>0.1039426523297491</v>
      </c>
      <c r="P332" s="19">
        <v>41913</v>
      </c>
      <c r="Q332" s="5">
        <f t="shared" si="45"/>
        <v>10</v>
      </c>
      <c r="R332" s="3" t="str">
        <f t="shared" si="46"/>
        <v>October</v>
      </c>
      <c r="S332" s="6">
        <f t="shared" si="47"/>
        <v>2014</v>
      </c>
    </row>
    <row r="333" spans="1:19" ht="12.75" x14ac:dyDescent="0.2">
      <c r="A333" s="2" t="s">
        <v>25</v>
      </c>
      <c r="B333" s="2" t="str">
        <f t="shared" si="40"/>
        <v>Enterprise</v>
      </c>
      <c r="C333" s="2" t="s">
        <v>19</v>
      </c>
      <c r="D333" s="2" t="str">
        <f>PROPER(Table1[[#This Row],[Country]])</f>
        <v>Germany</v>
      </c>
      <c r="E333" s="3" t="s">
        <v>23</v>
      </c>
      <c r="F333" s="3" t="s">
        <v>34</v>
      </c>
      <c r="G333" s="13">
        <v>2500</v>
      </c>
      <c r="H333" s="4">
        <v>5</v>
      </c>
      <c r="I333" s="4">
        <v>125</v>
      </c>
      <c r="J333" s="4">
        <f t="shared" si="41"/>
        <v>312500</v>
      </c>
      <c r="K333" s="4">
        <v>21875</v>
      </c>
      <c r="L333" s="4">
        <f t="shared" si="42"/>
        <v>290625</v>
      </c>
      <c r="M333" s="4">
        <v>300000</v>
      </c>
      <c r="N333" s="4">
        <f t="shared" si="43"/>
        <v>-9375</v>
      </c>
      <c r="O333" s="16">
        <f t="shared" si="44"/>
        <v>-3.2258064516129031E-2</v>
      </c>
      <c r="P333" s="19">
        <v>41579</v>
      </c>
      <c r="Q333" s="5">
        <f t="shared" si="45"/>
        <v>11</v>
      </c>
      <c r="R333" s="3" t="str">
        <f t="shared" si="46"/>
        <v>November</v>
      </c>
      <c r="S333" s="6">
        <f t="shared" si="47"/>
        <v>2013</v>
      </c>
    </row>
    <row r="334" spans="1:19" ht="12.75" x14ac:dyDescent="0.2">
      <c r="A334" s="2" t="s">
        <v>29</v>
      </c>
      <c r="B334" s="2" t="str">
        <f t="shared" si="40"/>
        <v>Small Business</v>
      </c>
      <c r="C334" s="2" t="s">
        <v>16</v>
      </c>
      <c r="D334" s="2" t="str">
        <f>PROPER(Table1[[#This Row],[Country]])</f>
        <v>Canada</v>
      </c>
      <c r="E334" s="3" t="s">
        <v>28</v>
      </c>
      <c r="F334" s="3" t="s">
        <v>34</v>
      </c>
      <c r="G334" s="13">
        <v>1702</v>
      </c>
      <c r="H334" s="4">
        <v>10</v>
      </c>
      <c r="I334" s="4">
        <v>300</v>
      </c>
      <c r="J334" s="4">
        <f t="shared" si="41"/>
        <v>510600</v>
      </c>
      <c r="K334" s="4">
        <v>35742</v>
      </c>
      <c r="L334" s="4">
        <f t="shared" si="42"/>
        <v>474858</v>
      </c>
      <c r="M334" s="4">
        <v>425500</v>
      </c>
      <c r="N334" s="4">
        <f t="shared" si="43"/>
        <v>49358</v>
      </c>
      <c r="O334" s="16">
        <f t="shared" si="44"/>
        <v>0.1039426523297491</v>
      </c>
      <c r="P334" s="19">
        <v>41760</v>
      </c>
      <c r="Q334" s="5">
        <f t="shared" si="45"/>
        <v>5</v>
      </c>
      <c r="R334" s="3" t="str">
        <f t="shared" si="46"/>
        <v>May</v>
      </c>
      <c r="S334" s="6">
        <f t="shared" si="47"/>
        <v>2014</v>
      </c>
    </row>
    <row r="335" spans="1:19" ht="12.75" x14ac:dyDescent="0.2">
      <c r="A335" s="2" t="s">
        <v>29</v>
      </c>
      <c r="B335" s="2" t="str">
        <f t="shared" si="40"/>
        <v>Small Business</v>
      </c>
      <c r="C335" s="2" t="s">
        <v>21</v>
      </c>
      <c r="D335" s="2" t="str">
        <f>PROPER(Table1[[#This Row],[Country]])</f>
        <v>France</v>
      </c>
      <c r="E335" s="3" t="s">
        <v>28</v>
      </c>
      <c r="F335" s="3" t="s">
        <v>34</v>
      </c>
      <c r="G335" s="13">
        <v>448</v>
      </c>
      <c r="H335" s="4">
        <v>10</v>
      </c>
      <c r="I335" s="4">
        <v>300</v>
      </c>
      <c r="J335" s="4">
        <f t="shared" si="41"/>
        <v>134400</v>
      </c>
      <c r="K335" s="4">
        <v>9408</v>
      </c>
      <c r="L335" s="4">
        <f t="shared" si="42"/>
        <v>124992</v>
      </c>
      <c r="M335" s="4">
        <v>112000</v>
      </c>
      <c r="N335" s="4">
        <f t="shared" si="43"/>
        <v>12992</v>
      </c>
      <c r="O335" s="16">
        <f t="shared" si="44"/>
        <v>0.1039426523297491</v>
      </c>
      <c r="P335" s="19">
        <v>41791</v>
      </c>
      <c r="Q335" s="5">
        <f t="shared" si="45"/>
        <v>6</v>
      </c>
      <c r="R335" s="3" t="str">
        <f t="shared" si="46"/>
        <v>June</v>
      </c>
      <c r="S335" s="6">
        <f t="shared" si="47"/>
        <v>2014</v>
      </c>
    </row>
    <row r="336" spans="1:19" ht="12.75" x14ac:dyDescent="0.2">
      <c r="A336" s="2" t="s">
        <v>25</v>
      </c>
      <c r="B336" s="2" t="str">
        <f t="shared" si="40"/>
        <v>Enterprise</v>
      </c>
      <c r="C336" s="2" t="s">
        <v>19</v>
      </c>
      <c r="D336" s="2" t="str">
        <f>PROPER(Table1[[#This Row],[Country]])</f>
        <v>Germany</v>
      </c>
      <c r="E336" s="3" t="s">
        <v>28</v>
      </c>
      <c r="F336" s="3" t="s">
        <v>34</v>
      </c>
      <c r="G336" s="13">
        <v>3513</v>
      </c>
      <c r="H336" s="4">
        <v>10</v>
      </c>
      <c r="I336" s="4">
        <v>125</v>
      </c>
      <c r="J336" s="4">
        <f t="shared" si="41"/>
        <v>439125</v>
      </c>
      <c r="K336" s="4">
        <v>30738.75</v>
      </c>
      <c r="L336" s="4">
        <f t="shared" si="42"/>
        <v>408386.25</v>
      </c>
      <c r="M336" s="4">
        <v>421560</v>
      </c>
      <c r="N336" s="4">
        <f t="shared" si="43"/>
        <v>-13173.75</v>
      </c>
      <c r="O336" s="16">
        <f t="shared" si="44"/>
        <v>-3.2258064516129031E-2</v>
      </c>
      <c r="P336" s="19">
        <v>41821</v>
      </c>
      <c r="Q336" s="5">
        <f t="shared" si="45"/>
        <v>7</v>
      </c>
      <c r="R336" s="3" t="str">
        <f t="shared" si="46"/>
        <v>July</v>
      </c>
      <c r="S336" s="6">
        <f t="shared" si="47"/>
        <v>2014</v>
      </c>
    </row>
    <row r="337" spans="1:19" ht="12.75" x14ac:dyDescent="0.2">
      <c r="A337" s="2" t="s">
        <v>20</v>
      </c>
      <c r="B337" s="2" t="str">
        <f t="shared" si="40"/>
        <v>Midmarket</v>
      </c>
      <c r="C337" s="2" t="s">
        <v>21</v>
      </c>
      <c r="D337" s="2" t="str">
        <f>PROPER(Table1[[#This Row],[Country]])</f>
        <v>France</v>
      </c>
      <c r="E337" s="3" t="s">
        <v>28</v>
      </c>
      <c r="F337" s="3" t="s">
        <v>34</v>
      </c>
      <c r="G337" s="13">
        <v>2101</v>
      </c>
      <c r="H337" s="4">
        <v>10</v>
      </c>
      <c r="I337" s="4">
        <v>15</v>
      </c>
      <c r="J337" s="4">
        <f t="shared" si="41"/>
        <v>31515</v>
      </c>
      <c r="K337" s="4">
        <v>2206.0500000000002</v>
      </c>
      <c r="L337" s="4">
        <f t="shared" si="42"/>
        <v>29308.95</v>
      </c>
      <c r="M337" s="4">
        <v>21010</v>
      </c>
      <c r="N337" s="4">
        <f t="shared" si="43"/>
        <v>8298.9500000000007</v>
      </c>
      <c r="O337" s="16">
        <f t="shared" si="44"/>
        <v>0.28315412186379929</v>
      </c>
      <c r="P337" s="19">
        <v>41852</v>
      </c>
      <c r="Q337" s="5">
        <f t="shared" si="45"/>
        <v>8</v>
      </c>
      <c r="R337" s="3" t="str">
        <f t="shared" si="46"/>
        <v>August</v>
      </c>
      <c r="S337" s="6">
        <f t="shared" si="47"/>
        <v>2014</v>
      </c>
    </row>
    <row r="338" spans="1:19" ht="12.75" x14ac:dyDescent="0.2">
      <c r="A338" s="2" t="s">
        <v>20</v>
      </c>
      <c r="B338" s="2" t="str">
        <f t="shared" si="40"/>
        <v>Midmarket</v>
      </c>
      <c r="C338" s="2" t="s">
        <v>71</v>
      </c>
      <c r="D338" s="2" t="str">
        <f>PROPER(Table1[[#This Row],[Country]])</f>
        <v>Usa</v>
      </c>
      <c r="E338" s="3" t="s">
        <v>28</v>
      </c>
      <c r="F338" s="3" t="s">
        <v>34</v>
      </c>
      <c r="G338" s="13">
        <v>2931</v>
      </c>
      <c r="H338" s="4">
        <v>10</v>
      </c>
      <c r="I338" s="4">
        <v>15</v>
      </c>
      <c r="J338" s="4">
        <f t="shared" si="41"/>
        <v>43965</v>
      </c>
      <c r="K338" s="4">
        <v>3077.55</v>
      </c>
      <c r="L338" s="4">
        <f t="shared" si="42"/>
        <v>40887.449999999997</v>
      </c>
      <c r="M338" s="4">
        <v>29310</v>
      </c>
      <c r="N338" s="4">
        <f t="shared" si="43"/>
        <v>11577.449999999997</v>
      </c>
      <c r="O338" s="16">
        <f t="shared" si="44"/>
        <v>0.28315412186379924</v>
      </c>
      <c r="P338" s="19">
        <v>41518</v>
      </c>
      <c r="Q338" s="5">
        <f t="shared" si="45"/>
        <v>9</v>
      </c>
      <c r="R338" s="3" t="str">
        <f t="shared" si="46"/>
        <v>September</v>
      </c>
      <c r="S338" s="6">
        <f t="shared" si="47"/>
        <v>2013</v>
      </c>
    </row>
    <row r="339" spans="1:19" ht="12.75" x14ac:dyDescent="0.2">
      <c r="A339" s="2" t="s">
        <v>15</v>
      </c>
      <c r="B339" s="2" t="str">
        <f t="shared" si="40"/>
        <v>Government</v>
      </c>
      <c r="C339" s="2" t="s">
        <v>21</v>
      </c>
      <c r="D339" s="2" t="str">
        <f>PROPER(Table1[[#This Row],[Country]])</f>
        <v>France</v>
      </c>
      <c r="E339" s="3" t="s">
        <v>28</v>
      </c>
      <c r="F339" s="3" t="s">
        <v>34</v>
      </c>
      <c r="G339" s="13">
        <v>1535</v>
      </c>
      <c r="H339" s="4">
        <v>10</v>
      </c>
      <c r="I339" s="4">
        <v>20</v>
      </c>
      <c r="J339" s="4">
        <f t="shared" si="41"/>
        <v>30700</v>
      </c>
      <c r="K339" s="4">
        <v>2149</v>
      </c>
      <c r="L339" s="4">
        <f t="shared" si="42"/>
        <v>28551</v>
      </c>
      <c r="M339" s="4">
        <v>15350</v>
      </c>
      <c r="N339" s="4">
        <f t="shared" si="43"/>
        <v>13201</v>
      </c>
      <c r="O339" s="16">
        <f t="shared" si="44"/>
        <v>0.46236559139784944</v>
      </c>
      <c r="P339" s="19">
        <v>41883</v>
      </c>
      <c r="Q339" s="5">
        <f t="shared" si="45"/>
        <v>9</v>
      </c>
      <c r="R339" s="3" t="str">
        <f t="shared" si="46"/>
        <v>September</v>
      </c>
      <c r="S339" s="6">
        <f t="shared" si="47"/>
        <v>2014</v>
      </c>
    </row>
    <row r="340" spans="1:19" ht="12.75" x14ac:dyDescent="0.2">
      <c r="A340" s="2" t="s">
        <v>29</v>
      </c>
      <c r="B340" s="2" t="str">
        <f t="shared" si="40"/>
        <v>Small Business</v>
      </c>
      <c r="C340" s="2" t="s">
        <v>19</v>
      </c>
      <c r="D340" s="2" t="str">
        <f>PROPER(Table1[[#This Row],[Country]])</f>
        <v>Germany</v>
      </c>
      <c r="E340" s="3" t="s">
        <v>28</v>
      </c>
      <c r="F340" s="3" t="s">
        <v>34</v>
      </c>
      <c r="G340" s="13">
        <v>1123</v>
      </c>
      <c r="H340" s="4">
        <v>10</v>
      </c>
      <c r="I340" s="4">
        <v>300</v>
      </c>
      <c r="J340" s="4">
        <f t="shared" si="41"/>
        <v>336900</v>
      </c>
      <c r="K340" s="4">
        <v>23583</v>
      </c>
      <c r="L340" s="4">
        <f t="shared" si="42"/>
        <v>313317</v>
      </c>
      <c r="M340" s="4">
        <v>280750</v>
      </c>
      <c r="N340" s="4">
        <f t="shared" si="43"/>
        <v>32567</v>
      </c>
      <c r="O340" s="16">
        <f t="shared" si="44"/>
        <v>0.1039426523297491</v>
      </c>
      <c r="P340" s="19">
        <v>41518</v>
      </c>
      <c r="Q340" s="5">
        <f t="shared" si="45"/>
        <v>9</v>
      </c>
      <c r="R340" s="3" t="str">
        <f t="shared" si="46"/>
        <v>September</v>
      </c>
      <c r="S340" s="6">
        <f t="shared" si="47"/>
        <v>2013</v>
      </c>
    </row>
    <row r="341" spans="1:19" ht="12.75" x14ac:dyDescent="0.2">
      <c r="A341" s="2" t="s">
        <v>29</v>
      </c>
      <c r="B341" s="2" t="str">
        <f t="shared" si="40"/>
        <v>Small Business</v>
      </c>
      <c r="C341" s="2" t="s">
        <v>16</v>
      </c>
      <c r="D341" s="2" t="str">
        <f>PROPER(Table1[[#This Row],[Country]])</f>
        <v>Canada</v>
      </c>
      <c r="E341" s="3" t="s">
        <v>28</v>
      </c>
      <c r="F341" s="3" t="s">
        <v>34</v>
      </c>
      <c r="G341" s="13">
        <v>1404</v>
      </c>
      <c r="H341" s="4">
        <v>10</v>
      </c>
      <c r="I341" s="4">
        <v>300</v>
      </c>
      <c r="J341" s="4">
        <f t="shared" si="41"/>
        <v>421200</v>
      </c>
      <c r="K341" s="4">
        <v>29484</v>
      </c>
      <c r="L341" s="4">
        <f t="shared" si="42"/>
        <v>391716</v>
      </c>
      <c r="M341" s="4">
        <v>351000</v>
      </c>
      <c r="N341" s="4">
        <f t="shared" si="43"/>
        <v>40716</v>
      </c>
      <c r="O341" s="16">
        <f t="shared" si="44"/>
        <v>0.1039426523297491</v>
      </c>
      <c r="P341" s="19">
        <v>41579</v>
      </c>
      <c r="Q341" s="5">
        <f t="shared" si="45"/>
        <v>11</v>
      </c>
      <c r="R341" s="3" t="str">
        <f t="shared" si="46"/>
        <v>November</v>
      </c>
      <c r="S341" s="6">
        <f t="shared" si="47"/>
        <v>2013</v>
      </c>
    </row>
    <row r="342" spans="1:19" ht="12.75" x14ac:dyDescent="0.2">
      <c r="A342" s="2" t="s">
        <v>24</v>
      </c>
      <c r="B342" s="2" t="str">
        <f t="shared" si="40"/>
        <v>Channel Partners</v>
      </c>
      <c r="C342" s="2" t="s">
        <v>22</v>
      </c>
      <c r="D342" s="2" t="str">
        <f>PROPER(Table1[[#This Row],[Country]])</f>
        <v>Mexico</v>
      </c>
      <c r="E342" s="3" t="s">
        <v>28</v>
      </c>
      <c r="F342" s="3" t="s">
        <v>34</v>
      </c>
      <c r="G342" s="13">
        <v>2763</v>
      </c>
      <c r="H342" s="4">
        <v>10</v>
      </c>
      <c r="I342" s="4">
        <v>12</v>
      </c>
      <c r="J342" s="4">
        <f t="shared" si="41"/>
        <v>33156</v>
      </c>
      <c r="K342" s="4">
        <v>2320.92</v>
      </c>
      <c r="L342" s="4">
        <f t="shared" si="42"/>
        <v>30835.08</v>
      </c>
      <c r="M342" s="4">
        <v>8289</v>
      </c>
      <c r="N342" s="4">
        <f t="shared" si="43"/>
        <v>22546.080000000002</v>
      </c>
      <c r="O342" s="16">
        <f t="shared" si="44"/>
        <v>0.73118279569892475</v>
      </c>
      <c r="P342" s="19">
        <v>41579</v>
      </c>
      <c r="Q342" s="5">
        <f t="shared" si="45"/>
        <v>11</v>
      </c>
      <c r="R342" s="3" t="str">
        <f t="shared" si="46"/>
        <v>November</v>
      </c>
      <c r="S342" s="6">
        <f t="shared" si="47"/>
        <v>2013</v>
      </c>
    </row>
    <row r="343" spans="1:19" ht="12.75" x14ac:dyDescent="0.2">
      <c r="A343" s="2" t="s">
        <v>15</v>
      </c>
      <c r="B343" s="2" t="str">
        <f t="shared" si="40"/>
        <v>Government</v>
      </c>
      <c r="C343" s="2" t="s">
        <v>19</v>
      </c>
      <c r="D343" s="2" t="str">
        <f>PROPER(Table1[[#This Row],[Country]])</f>
        <v>Germany</v>
      </c>
      <c r="E343" s="3" t="s">
        <v>28</v>
      </c>
      <c r="F343" s="3" t="s">
        <v>34</v>
      </c>
      <c r="G343" s="13">
        <v>2125</v>
      </c>
      <c r="H343" s="4">
        <v>10</v>
      </c>
      <c r="I343" s="4">
        <v>7</v>
      </c>
      <c r="J343" s="4">
        <f t="shared" si="41"/>
        <v>14875</v>
      </c>
      <c r="K343" s="4">
        <v>1041.25</v>
      </c>
      <c r="L343" s="4">
        <f t="shared" si="42"/>
        <v>13833.75</v>
      </c>
      <c r="M343" s="4">
        <v>10625</v>
      </c>
      <c r="N343" s="4">
        <f t="shared" si="43"/>
        <v>3208.75</v>
      </c>
      <c r="O343" s="16">
        <f t="shared" si="44"/>
        <v>0.23195084485407066</v>
      </c>
      <c r="P343" s="19">
        <v>41609</v>
      </c>
      <c r="Q343" s="5">
        <f t="shared" si="45"/>
        <v>12</v>
      </c>
      <c r="R343" s="3" t="str">
        <f t="shared" si="46"/>
        <v>December</v>
      </c>
      <c r="S343" s="6">
        <f t="shared" si="47"/>
        <v>2013</v>
      </c>
    </row>
    <row r="344" spans="1:19" ht="12.75" x14ac:dyDescent="0.2">
      <c r="A344" s="2" t="s">
        <v>29</v>
      </c>
      <c r="B344" s="2" t="str">
        <f t="shared" si="40"/>
        <v>Small Business</v>
      </c>
      <c r="C344" s="2" t="s">
        <v>21</v>
      </c>
      <c r="D344" s="2" t="str">
        <f>PROPER(Table1[[#This Row],[Country]])</f>
        <v>France</v>
      </c>
      <c r="E344" s="3" t="s">
        <v>30</v>
      </c>
      <c r="F344" s="3" t="s">
        <v>34</v>
      </c>
      <c r="G344" s="13">
        <v>1659</v>
      </c>
      <c r="H344" s="4">
        <v>120</v>
      </c>
      <c r="I344" s="4">
        <v>300</v>
      </c>
      <c r="J344" s="4">
        <f t="shared" si="41"/>
        <v>497700</v>
      </c>
      <c r="K344" s="4">
        <v>34839</v>
      </c>
      <c r="L344" s="4">
        <f t="shared" si="42"/>
        <v>462861</v>
      </c>
      <c r="M344" s="4">
        <v>414750</v>
      </c>
      <c r="N344" s="4">
        <f t="shared" si="43"/>
        <v>48111</v>
      </c>
      <c r="O344" s="16">
        <f t="shared" si="44"/>
        <v>0.1039426523297491</v>
      </c>
      <c r="P344" s="19">
        <v>41821</v>
      </c>
      <c r="Q344" s="5">
        <f t="shared" si="45"/>
        <v>7</v>
      </c>
      <c r="R344" s="3" t="str">
        <f t="shared" si="46"/>
        <v>July</v>
      </c>
      <c r="S344" s="6">
        <f t="shared" si="47"/>
        <v>2014</v>
      </c>
    </row>
    <row r="345" spans="1:19" ht="12.75" x14ac:dyDescent="0.2">
      <c r="A345" s="2" t="s">
        <v>15</v>
      </c>
      <c r="B345" s="2" t="str">
        <f t="shared" si="40"/>
        <v>Government</v>
      </c>
      <c r="C345" s="2" t="s">
        <v>22</v>
      </c>
      <c r="D345" s="2" t="str">
        <f>PROPER(Table1[[#This Row],[Country]])</f>
        <v>Mexico</v>
      </c>
      <c r="E345" s="3" t="s">
        <v>30</v>
      </c>
      <c r="F345" s="3" t="s">
        <v>34</v>
      </c>
      <c r="G345" s="13">
        <v>609</v>
      </c>
      <c r="H345" s="4">
        <v>120</v>
      </c>
      <c r="I345" s="4">
        <v>20</v>
      </c>
      <c r="J345" s="4">
        <f t="shared" si="41"/>
        <v>12180</v>
      </c>
      <c r="K345" s="4">
        <v>852.6</v>
      </c>
      <c r="L345" s="4">
        <f t="shared" si="42"/>
        <v>11327.4</v>
      </c>
      <c r="M345" s="4">
        <v>6090</v>
      </c>
      <c r="N345" s="4">
        <f t="shared" si="43"/>
        <v>5237.3999999999996</v>
      </c>
      <c r="O345" s="16">
        <f t="shared" si="44"/>
        <v>0.46236559139784944</v>
      </c>
      <c r="P345" s="19">
        <v>41852</v>
      </c>
      <c r="Q345" s="5">
        <f t="shared" si="45"/>
        <v>8</v>
      </c>
      <c r="R345" s="3" t="str">
        <f t="shared" si="46"/>
        <v>August</v>
      </c>
      <c r="S345" s="6">
        <f t="shared" si="47"/>
        <v>2014</v>
      </c>
    </row>
    <row r="346" spans="1:19" ht="12.75" x14ac:dyDescent="0.2">
      <c r="A346" s="2" t="s">
        <v>25</v>
      </c>
      <c r="B346" s="2" t="str">
        <f t="shared" si="40"/>
        <v>Enterprise</v>
      </c>
      <c r="C346" s="2" t="s">
        <v>19</v>
      </c>
      <c r="D346" s="2" t="str">
        <f>PROPER(Table1[[#This Row],[Country]])</f>
        <v>Germany</v>
      </c>
      <c r="E346" s="3" t="s">
        <v>30</v>
      </c>
      <c r="F346" s="3" t="s">
        <v>34</v>
      </c>
      <c r="G346" s="13">
        <v>2087</v>
      </c>
      <c r="H346" s="4">
        <v>120</v>
      </c>
      <c r="I346" s="4">
        <v>125</v>
      </c>
      <c r="J346" s="4">
        <f t="shared" si="41"/>
        <v>260875</v>
      </c>
      <c r="K346" s="4">
        <v>18261.25</v>
      </c>
      <c r="L346" s="4">
        <f t="shared" si="42"/>
        <v>242613.75</v>
      </c>
      <c r="M346" s="4">
        <v>250440</v>
      </c>
      <c r="N346" s="4">
        <f t="shared" si="43"/>
        <v>-7826.25</v>
      </c>
      <c r="O346" s="16">
        <f t="shared" si="44"/>
        <v>-3.2258064516129031E-2</v>
      </c>
      <c r="P346" s="19">
        <v>41883</v>
      </c>
      <c r="Q346" s="5">
        <f t="shared" si="45"/>
        <v>9</v>
      </c>
      <c r="R346" s="3" t="str">
        <f t="shared" si="46"/>
        <v>September</v>
      </c>
      <c r="S346" s="6">
        <f t="shared" si="47"/>
        <v>2014</v>
      </c>
    </row>
    <row r="347" spans="1:19" ht="12.75" x14ac:dyDescent="0.2">
      <c r="A347" s="2" t="s">
        <v>15</v>
      </c>
      <c r="B347" s="2" t="str">
        <f t="shared" si="40"/>
        <v>Government</v>
      </c>
      <c r="C347" s="2" t="s">
        <v>21</v>
      </c>
      <c r="D347" s="2" t="str">
        <f>PROPER(Table1[[#This Row],[Country]])</f>
        <v>France</v>
      </c>
      <c r="E347" s="3" t="s">
        <v>30</v>
      </c>
      <c r="F347" s="3" t="s">
        <v>34</v>
      </c>
      <c r="G347" s="13">
        <v>1976</v>
      </c>
      <c r="H347" s="4">
        <v>120</v>
      </c>
      <c r="I347" s="4">
        <v>20</v>
      </c>
      <c r="J347" s="4">
        <f t="shared" si="41"/>
        <v>39520</v>
      </c>
      <c r="K347" s="4">
        <v>2766.4</v>
      </c>
      <c r="L347" s="4">
        <f t="shared" si="42"/>
        <v>36753.599999999999</v>
      </c>
      <c r="M347" s="4">
        <v>19760</v>
      </c>
      <c r="N347" s="4">
        <f t="shared" si="43"/>
        <v>16993.599999999999</v>
      </c>
      <c r="O347" s="16">
        <f t="shared" si="44"/>
        <v>0.46236559139784944</v>
      </c>
      <c r="P347" s="19">
        <v>41913</v>
      </c>
      <c r="Q347" s="5">
        <f t="shared" si="45"/>
        <v>10</v>
      </c>
      <c r="R347" s="3" t="str">
        <f t="shared" si="46"/>
        <v>October</v>
      </c>
      <c r="S347" s="6">
        <f t="shared" si="47"/>
        <v>2014</v>
      </c>
    </row>
    <row r="348" spans="1:19" ht="12.75" x14ac:dyDescent="0.2">
      <c r="A348" s="2" t="s">
        <v>15</v>
      </c>
      <c r="B348" s="2" t="str">
        <f t="shared" si="40"/>
        <v>Government</v>
      </c>
      <c r="C348" s="2" t="s">
        <v>71</v>
      </c>
      <c r="D348" s="2" t="str">
        <f>PROPER(Table1[[#This Row],[Country]])</f>
        <v>Usa</v>
      </c>
      <c r="E348" s="3" t="s">
        <v>30</v>
      </c>
      <c r="F348" s="3" t="s">
        <v>34</v>
      </c>
      <c r="G348" s="13">
        <v>1421</v>
      </c>
      <c r="H348" s="4">
        <v>120</v>
      </c>
      <c r="I348" s="4">
        <v>20</v>
      </c>
      <c r="J348" s="4">
        <f t="shared" si="41"/>
        <v>28420</v>
      </c>
      <c r="K348" s="4">
        <v>1989.4</v>
      </c>
      <c r="L348" s="4">
        <f t="shared" si="42"/>
        <v>26430.6</v>
      </c>
      <c r="M348" s="4">
        <v>14210</v>
      </c>
      <c r="N348" s="4">
        <f t="shared" si="43"/>
        <v>12220.599999999999</v>
      </c>
      <c r="O348" s="16">
        <f t="shared" si="44"/>
        <v>0.46236559139784944</v>
      </c>
      <c r="P348" s="19">
        <v>41609</v>
      </c>
      <c r="Q348" s="5">
        <f t="shared" si="45"/>
        <v>12</v>
      </c>
      <c r="R348" s="3" t="str">
        <f t="shared" si="46"/>
        <v>December</v>
      </c>
      <c r="S348" s="6">
        <f t="shared" si="47"/>
        <v>2013</v>
      </c>
    </row>
    <row r="349" spans="1:19" ht="12.75" x14ac:dyDescent="0.2">
      <c r="A349" s="2" t="s">
        <v>29</v>
      </c>
      <c r="B349" s="2" t="str">
        <f t="shared" si="40"/>
        <v>Small Business</v>
      </c>
      <c r="C349" s="2" t="s">
        <v>71</v>
      </c>
      <c r="D349" s="2" t="str">
        <f>PROPER(Table1[[#This Row],[Country]])</f>
        <v>Usa</v>
      </c>
      <c r="E349" s="3" t="s">
        <v>30</v>
      </c>
      <c r="F349" s="3" t="s">
        <v>34</v>
      </c>
      <c r="G349" s="13">
        <v>1372</v>
      </c>
      <c r="H349" s="4">
        <v>120</v>
      </c>
      <c r="I349" s="4">
        <v>300</v>
      </c>
      <c r="J349" s="4">
        <f t="shared" si="41"/>
        <v>411600</v>
      </c>
      <c r="K349" s="4">
        <v>28812</v>
      </c>
      <c r="L349" s="4">
        <f t="shared" si="42"/>
        <v>382788</v>
      </c>
      <c r="M349" s="4">
        <v>343000</v>
      </c>
      <c r="N349" s="4">
        <f t="shared" si="43"/>
        <v>39788</v>
      </c>
      <c r="O349" s="16">
        <f t="shared" si="44"/>
        <v>0.1039426523297491</v>
      </c>
      <c r="P349" s="19">
        <v>41974</v>
      </c>
      <c r="Q349" s="5">
        <f t="shared" si="45"/>
        <v>12</v>
      </c>
      <c r="R349" s="3" t="str">
        <f t="shared" si="46"/>
        <v>December</v>
      </c>
      <c r="S349" s="6">
        <f t="shared" si="47"/>
        <v>2014</v>
      </c>
    </row>
    <row r="350" spans="1:19" ht="12.75" x14ac:dyDescent="0.2">
      <c r="A350" s="2" t="s">
        <v>15</v>
      </c>
      <c r="B350" s="2" t="str">
        <f t="shared" si="40"/>
        <v>Government</v>
      </c>
      <c r="C350" s="2" t="s">
        <v>19</v>
      </c>
      <c r="D350" s="2" t="str">
        <f>PROPER(Table1[[#This Row],[Country]])</f>
        <v>Germany</v>
      </c>
      <c r="E350" s="3" t="s">
        <v>30</v>
      </c>
      <c r="F350" s="3" t="s">
        <v>34</v>
      </c>
      <c r="G350" s="13">
        <v>588</v>
      </c>
      <c r="H350" s="4">
        <v>120</v>
      </c>
      <c r="I350" s="4">
        <v>20</v>
      </c>
      <c r="J350" s="4">
        <f t="shared" si="41"/>
        <v>11760</v>
      </c>
      <c r="K350" s="4">
        <v>823.2</v>
      </c>
      <c r="L350" s="4">
        <f t="shared" si="42"/>
        <v>10936.8</v>
      </c>
      <c r="M350" s="4">
        <v>5880</v>
      </c>
      <c r="N350" s="4">
        <f t="shared" si="43"/>
        <v>5056.7999999999993</v>
      </c>
      <c r="O350" s="16">
        <f t="shared" si="44"/>
        <v>0.46236559139784944</v>
      </c>
      <c r="P350" s="19">
        <v>41609</v>
      </c>
      <c r="Q350" s="5">
        <f t="shared" si="45"/>
        <v>12</v>
      </c>
      <c r="R350" s="3" t="str">
        <f t="shared" si="46"/>
        <v>December</v>
      </c>
      <c r="S350" s="6">
        <f t="shared" si="47"/>
        <v>2013</v>
      </c>
    </row>
    <row r="351" spans="1:19" ht="12.75" x14ac:dyDescent="0.2">
      <c r="A351" s="2" t="s">
        <v>24</v>
      </c>
      <c r="B351" s="2" t="str">
        <f t="shared" si="40"/>
        <v>Channel Partners</v>
      </c>
      <c r="C351" s="2" t="s">
        <v>16</v>
      </c>
      <c r="D351" s="2" t="str">
        <f>PROPER(Table1[[#This Row],[Country]])</f>
        <v>Canada</v>
      </c>
      <c r="E351" s="3" t="s">
        <v>31</v>
      </c>
      <c r="F351" s="3" t="s">
        <v>34</v>
      </c>
      <c r="G351" s="13">
        <v>3244.5</v>
      </c>
      <c r="H351" s="4">
        <v>250</v>
      </c>
      <c r="I351" s="4">
        <v>12</v>
      </c>
      <c r="J351" s="4">
        <f t="shared" si="41"/>
        <v>38934</v>
      </c>
      <c r="K351" s="4">
        <v>2725.38</v>
      </c>
      <c r="L351" s="4">
        <f t="shared" si="42"/>
        <v>36208.620000000003</v>
      </c>
      <c r="M351" s="4">
        <v>9733.5</v>
      </c>
      <c r="N351" s="4">
        <f t="shared" si="43"/>
        <v>26475.120000000003</v>
      </c>
      <c r="O351" s="16">
        <f t="shared" si="44"/>
        <v>0.73118279569892475</v>
      </c>
      <c r="P351" s="19">
        <v>41640</v>
      </c>
      <c r="Q351" s="5">
        <f t="shared" si="45"/>
        <v>1</v>
      </c>
      <c r="R351" s="3" t="str">
        <f t="shared" si="46"/>
        <v>January</v>
      </c>
      <c r="S351" s="6">
        <f t="shared" si="47"/>
        <v>2014</v>
      </c>
    </row>
    <row r="352" spans="1:19" ht="12.75" x14ac:dyDescent="0.2">
      <c r="A352" s="2" t="s">
        <v>29</v>
      </c>
      <c r="B352" s="2" t="str">
        <f t="shared" si="40"/>
        <v>Small Business</v>
      </c>
      <c r="C352" s="2" t="s">
        <v>21</v>
      </c>
      <c r="D352" s="2" t="str">
        <f>PROPER(Table1[[#This Row],[Country]])</f>
        <v>France</v>
      </c>
      <c r="E352" s="3" t="s">
        <v>31</v>
      </c>
      <c r="F352" s="3" t="s">
        <v>34</v>
      </c>
      <c r="G352" s="13">
        <v>959</v>
      </c>
      <c r="H352" s="4">
        <v>250</v>
      </c>
      <c r="I352" s="4">
        <v>300</v>
      </c>
      <c r="J352" s="4">
        <f t="shared" si="41"/>
        <v>287700</v>
      </c>
      <c r="K352" s="4">
        <v>20139</v>
      </c>
      <c r="L352" s="4">
        <f t="shared" si="42"/>
        <v>267561</v>
      </c>
      <c r="M352" s="4">
        <v>239750</v>
      </c>
      <c r="N352" s="4">
        <f t="shared" si="43"/>
        <v>27811</v>
      </c>
      <c r="O352" s="16">
        <f t="shared" si="44"/>
        <v>0.1039426523297491</v>
      </c>
      <c r="P352" s="19">
        <v>41671</v>
      </c>
      <c r="Q352" s="5">
        <f t="shared" si="45"/>
        <v>2</v>
      </c>
      <c r="R352" s="3" t="str">
        <f t="shared" si="46"/>
        <v>February</v>
      </c>
      <c r="S352" s="6">
        <f t="shared" si="47"/>
        <v>2014</v>
      </c>
    </row>
    <row r="353" spans="1:19" ht="12.75" x14ac:dyDescent="0.2">
      <c r="A353" s="2" t="s">
        <v>29</v>
      </c>
      <c r="B353" s="2" t="str">
        <f t="shared" si="40"/>
        <v>Small Business</v>
      </c>
      <c r="C353" s="2" t="s">
        <v>22</v>
      </c>
      <c r="D353" s="2" t="str">
        <f>PROPER(Table1[[#This Row],[Country]])</f>
        <v>Mexico</v>
      </c>
      <c r="E353" s="3" t="s">
        <v>31</v>
      </c>
      <c r="F353" s="3" t="s">
        <v>34</v>
      </c>
      <c r="G353" s="13">
        <v>2747</v>
      </c>
      <c r="H353" s="4">
        <v>250</v>
      </c>
      <c r="I353" s="4">
        <v>300</v>
      </c>
      <c r="J353" s="4">
        <f t="shared" si="41"/>
        <v>824100</v>
      </c>
      <c r="K353" s="4">
        <v>57687</v>
      </c>
      <c r="L353" s="4">
        <f t="shared" si="42"/>
        <v>766413</v>
      </c>
      <c r="M353" s="4">
        <v>686750</v>
      </c>
      <c r="N353" s="4">
        <f t="shared" si="43"/>
        <v>79663</v>
      </c>
      <c r="O353" s="16">
        <f t="shared" si="44"/>
        <v>0.1039426523297491</v>
      </c>
      <c r="P353" s="19">
        <v>41671</v>
      </c>
      <c r="Q353" s="5">
        <f t="shared" si="45"/>
        <v>2</v>
      </c>
      <c r="R353" s="3" t="str">
        <f t="shared" si="46"/>
        <v>February</v>
      </c>
      <c r="S353" s="6">
        <f t="shared" si="47"/>
        <v>2014</v>
      </c>
    </row>
    <row r="354" spans="1:19" ht="12.75" x14ac:dyDescent="0.2">
      <c r="A354" s="2" t="s">
        <v>25</v>
      </c>
      <c r="B354" s="2" t="str">
        <f t="shared" si="40"/>
        <v>Enterprise</v>
      </c>
      <c r="C354" s="2" t="s">
        <v>16</v>
      </c>
      <c r="D354" s="2" t="str">
        <f>PROPER(Table1[[#This Row],[Country]])</f>
        <v>Canada</v>
      </c>
      <c r="E354" s="3" t="s">
        <v>32</v>
      </c>
      <c r="F354" s="3" t="s">
        <v>34</v>
      </c>
      <c r="G354" s="13">
        <v>1645</v>
      </c>
      <c r="H354" s="4">
        <v>260</v>
      </c>
      <c r="I354" s="4">
        <v>125</v>
      </c>
      <c r="J354" s="4">
        <f t="shared" si="41"/>
        <v>205625</v>
      </c>
      <c r="K354" s="4">
        <v>14393.75</v>
      </c>
      <c r="L354" s="4">
        <f t="shared" si="42"/>
        <v>191231.25</v>
      </c>
      <c r="M354" s="4">
        <v>197400</v>
      </c>
      <c r="N354" s="4">
        <f t="shared" si="43"/>
        <v>-6168.75</v>
      </c>
      <c r="O354" s="16">
        <f t="shared" si="44"/>
        <v>-3.2258064516129031E-2</v>
      </c>
      <c r="P354" s="19">
        <v>41760</v>
      </c>
      <c r="Q354" s="5">
        <f t="shared" si="45"/>
        <v>5</v>
      </c>
      <c r="R354" s="3" t="str">
        <f t="shared" si="46"/>
        <v>May</v>
      </c>
      <c r="S354" s="6">
        <f t="shared" si="47"/>
        <v>2014</v>
      </c>
    </row>
    <row r="355" spans="1:19" ht="12.75" x14ac:dyDescent="0.2">
      <c r="A355" s="2" t="s">
        <v>15</v>
      </c>
      <c r="B355" s="2" t="str">
        <f t="shared" si="40"/>
        <v>Government</v>
      </c>
      <c r="C355" s="2" t="s">
        <v>21</v>
      </c>
      <c r="D355" s="2" t="str">
        <f>PROPER(Table1[[#This Row],[Country]])</f>
        <v>France</v>
      </c>
      <c r="E355" s="3" t="s">
        <v>32</v>
      </c>
      <c r="F355" s="3" t="s">
        <v>34</v>
      </c>
      <c r="G355" s="13">
        <v>2876</v>
      </c>
      <c r="H355" s="4">
        <v>260</v>
      </c>
      <c r="I355" s="4">
        <v>350</v>
      </c>
      <c r="J355" s="4">
        <f t="shared" si="41"/>
        <v>1006600</v>
      </c>
      <c r="K355" s="4">
        <v>70462</v>
      </c>
      <c r="L355" s="4">
        <f t="shared" si="42"/>
        <v>936138</v>
      </c>
      <c r="M355" s="4">
        <v>747760</v>
      </c>
      <c r="N355" s="4">
        <f t="shared" si="43"/>
        <v>188378</v>
      </c>
      <c r="O355" s="16">
        <f t="shared" si="44"/>
        <v>0.20122887864823349</v>
      </c>
      <c r="P355" s="19">
        <v>41883</v>
      </c>
      <c r="Q355" s="5">
        <f t="shared" si="45"/>
        <v>9</v>
      </c>
      <c r="R355" s="3" t="str">
        <f t="shared" si="46"/>
        <v>September</v>
      </c>
      <c r="S355" s="6">
        <f t="shared" si="47"/>
        <v>2014</v>
      </c>
    </row>
    <row r="356" spans="1:19" ht="12.75" x14ac:dyDescent="0.2">
      <c r="A356" s="2" t="s">
        <v>25</v>
      </c>
      <c r="B356" s="2" t="str">
        <f t="shared" si="40"/>
        <v>Enterprise</v>
      </c>
      <c r="C356" s="2" t="s">
        <v>19</v>
      </c>
      <c r="D356" s="2" t="str">
        <f>PROPER(Table1[[#This Row],[Country]])</f>
        <v>Germany</v>
      </c>
      <c r="E356" s="3" t="s">
        <v>32</v>
      </c>
      <c r="F356" s="3" t="s">
        <v>34</v>
      </c>
      <c r="G356" s="13">
        <v>994</v>
      </c>
      <c r="H356" s="4">
        <v>260</v>
      </c>
      <c r="I356" s="4">
        <v>125</v>
      </c>
      <c r="J356" s="4">
        <f t="shared" si="41"/>
        <v>124250</v>
      </c>
      <c r="K356" s="4">
        <v>8697.5</v>
      </c>
      <c r="L356" s="4">
        <f t="shared" si="42"/>
        <v>115552.5</v>
      </c>
      <c r="M356" s="4">
        <v>119280</v>
      </c>
      <c r="N356" s="4">
        <f t="shared" si="43"/>
        <v>-3727.5</v>
      </c>
      <c r="O356" s="16">
        <f t="shared" si="44"/>
        <v>-3.2258064516129031E-2</v>
      </c>
      <c r="P356" s="19">
        <v>41518</v>
      </c>
      <c r="Q356" s="5">
        <f t="shared" si="45"/>
        <v>9</v>
      </c>
      <c r="R356" s="3" t="str">
        <f t="shared" si="46"/>
        <v>September</v>
      </c>
      <c r="S356" s="6">
        <f t="shared" si="47"/>
        <v>2013</v>
      </c>
    </row>
    <row r="357" spans="1:19" ht="12.75" x14ac:dyDescent="0.2">
      <c r="A357" s="2" t="s">
        <v>15</v>
      </c>
      <c r="B357" s="2" t="str">
        <f t="shared" si="40"/>
        <v>Government</v>
      </c>
      <c r="C357" s="2" t="s">
        <v>16</v>
      </c>
      <c r="D357" s="2" t="str">
        <f>PROPER(Table1[[#This Row],[Country]])</f>
        <v>Canada</v>
      </c>
      <c r="E357" s="3" t="s">
        <v>32</v>
      </c>
      <c r="F357" s="3" t="s">
        <v>34</v>
      </c>
      <c r="G357" s="13">
        <v>1118</v>
      </c>
      <c r="H357" s="4">
        <v>260</v>
      </c>
      <c r="I357" s="4">
        <v>20</v>
      </c>
      <c r="J357" s="4">
        <f t="shared" si="41"/>
        <v>22360</v>
      </c>
      <c r="K357" s="4">
        <v>1565.2</v>
      </c>
      <c r="L357" s="4">
        <f t="shared" si="42"/>
        <v>20794.8</v>
      </c>
      <c r="M357" s="4">
        <v>11180</v>
      </c>
      <c r="N357" s="4">
        <f t="shared" si="43"/>
        <v>9614.7999999999993</v>
      </c>
      <c r="O357" s="16">
        <f t="shared" si="44"/>
        <v>0.46236559139784944</v>
      </c>
      <c r="P357" s="19">
        <v>41944</v>
      </c>
      <c r="Q357" s="5">
        <f t="shared" si="45"/>
        <v>11</v>
      </c>
      <c r="R357" s="3" t="str">
        <f t="shared" si="46"/>
        <v>November</v>
      </c>
      <c r="S357" s="6">
        <f t="shared" si="47"/>
        <v>2014</v>
      </c>
    </row>
    <row r="358" spans="1:19" ht="12.75" x14ac:dyDescent="0.2">
      <c r="A358" s="2" t="s">
        <v>29</v>
      </c>
      <c r="B358" s="2" t="str">
        <f t="shared" si="40"/>
        <v>Small Business</v>
      </c>
      <c r="C358" s="2" t="s">
        <v>71</v>
      </c>
      <c r="D358" s="2" t="str">
        <f>PROPER(Table1[[#This Row],[Country]])</f>
        <v>Usa</v>
      </c>
      <c r="E358" s="3" t="s">
        <v>32</v>
      </c>
      <c r="F358" s="3" t="s">
        <v>34</v>
      </c>
      <c r="G358" s="13">
        <v>1372</v>
      </c>
      <c r="H358" s="4">
        <v>260</v>
      </c>
      <c r="I358" s="4">
        <v>300</v>
      </c>
      <c r="J358" s="4">
        <f t="shared" si="41"/>
        <v>411600</v>
      </c>
      <c r="K358" s="4">
        <v>28812</v>
      </c>
      <c r="L358" s="4">
        <f t="shared" si="42"/>
        <v>382788</v>
      </c>
      <c r="M358" s="4">
        <v>343000</v>
      </c>
      <c r="N358" s="4">
        <f t="shared" si="43"/>
        <v>39788</v>
      </c>
      <c r="O358" s="16">
        <f t="shared" si="44"/>
        <v>0.1039426523297491</v>
      </c>
      <c r="P358" s="19">
        <v>41974</v>
      </c>
      <c r="Q358" s="5">
        <f t="shared" si="45"/>
        <v>12</v>
      </c>
      <c r="R358" s="3" t="str">
        <f t="shared" si="46"/>
        <v>December</v>
      </c>
      <c r="S358" s="6">
        <f t="shared" si="47"/>
        <v>2014</v>
      </c>
    </row>
    <row r="359" spans="1:19" ht="12.75" x14ac:dyDescent="0.2">
      <c r="A359" s="2" t="s">
        <v>15</v>
      </c>
      <c r="B359" s="2" t="str">
        <f t="shared" si="40"/>
        <v>Government</v>
      </c>
      <c r="C359" s="2" t="s">
        <v>16</v>
      </c>
      <c r="D359" s="2" t="str">
        <f>PROPER(Table1[[#This Row],[Country]])</f>
        <v>Canada</v>
      </c>
      <c r="E359" s="3" t="s">
        <v>23</v>
      </c>
      <c r="F359" s="3" t="s">
        <v>34</v>
      </c>
      <c r="G359" s="13">
        <v>488</v>
      </c>
      <c r="H359" s="4">
        <v>5</v>
      </c>
      <c r="I359" s="4">
        <v>7</v>
      </c>
      <c r="J359" s="4">
        <f t="shared" si="41"/>
        <v>3416</v>
      </c>
      <c r="K359" s="4">
        <v>273.27999999999997</v>
      </c>
      <c r="L359" s="4">
        <f t="shared" si="42"/>
        <v>3142.7200000000003</v>
      </c>
      <c r="M359" s="4">
        <v>2440</v>
      </c>
      <c r="N359" s="4">
        <f t="shared" si="43"/>
        <v>702.72000000000025</v>
      </c>
      <c r="O359" s="16">
        <f t="shared" si="44"/>
        <v>0.22360248447204975</v>
      </c>
      <c r="P359" s="19">
        <v>41671</v>
      </c>
      <c r="Q359" s="5">
        <f t="shared" si="45"/>
        <v>2</v>
      </c>
      <c r="R359" s="3" t="str">
        <f t="shared" si="46"/>
        <v>February</v>
      </c>
      <c r="S359" s="6">
        <f t="shared" si="47"/>
        <v>2014</v>
      </c>
    </row>
    <row r="360" spans="1:19" ht="12.75" x14ac:dyDescent="0.2">
      <c r="A360" s="2" t="s">
        <v>15</v>
      </c>
      <c r="B360" s="2" t="str">
        <f t="shared" si="40"/>
        <v>Government</v>
      </c>
      <c r="C360" s="2" t="s">
        <v>71</v>
      </c>
      <c r="D360" s="2" t="str">
        <f>PROPER(Table1[[#This Row],[Country]])</f>
        <v>Usa</v>
      </c>
      <c r="E360" s="3" t="s">
        <v>23</v>
      </c>
      <c r="F360" s="3" t="s">
        <v>34</v>
      </c>
      <c r="G360" s="13">
        <v>1282</v>
      </c>
      <c r="H360" s="4">
        <v>5</v>
      </c>
      <c r="I360" s="4">
        <v>20</v>
      </c>
      <c r="J360" s="4">
        <f t="shared" si="41"/>
        <v>25640</v>
      </c>
      <c r="K360" s="4">
        <v>2051.1999999999998</v>
      </c>
      <c r="L360" s="4">
        <f t="shared" si="42"/>
        <v>23588.799999999999</v>
      </c>
      <c r="M360" s="4">
        <v>12820</v>
      </c>
      <c r="N360" s="4">
        <f t="shared" si="43"/>
        <v>10768.8</v>
      </c>
      <c r="O360" s="16">
        <f t="shared" si="44"/>
        <v>0.45652173913043476</v>
      </c>
      <c r="P360" s="19">
        <v>41791</v>
      </c>
      <c r="Q360" s="5">
        <f t="shared" si="45"/>
        <v>6</v>
      </c>
      <c r="R360" s="3" t="str">
        <f t="shared" si="46"/>
        <v>June</v>
      </c>
      <c r="S360" s="6">
        <f t="shared" si="47"/>
        <v>2014</v>
      </c>
    </row>
    <row r="361" spans="1:19" ht="12.75" x14ac:dyDescent="0.2">
      <c r="A361" s="2" t="s">
        <v>15</v>
      </c>
      <c r="B361" s="2" t="str">
        <f t="shared" si="40"/>
        <v>Government</v>
      </c>
      <c r="C361" s="2" t="s">
        <v>16</v>
      </c>
      <c r="D361" s="2" t="str">
        <f>PROPER(Table1[[#This Row],[Country]])</f>
        <v>Canada</v>
      </c>
      <c r="E361" s="3" t="s">
        <v>28</v>
      </c>
      <c r="F361" s="3" t="s">
        <v>34</v>
      </c>
      <c r="G361" s="13">
        <v>257</v>
      </c>
      <c r="H361" s="4">
        <v>10</v>
      </c>
      <c r="I361" s="4">
        <v>7</v>
      </c>
      <c r="J361" s="4">
        <f t="shared" si="41"/>
        <v>1799</v>
      </c>
      <c r="K361" s="4">
        <v>143.91999999999999</v>
      </c>
      <c r="L361" s="4">
        <f t="shared" si="42"/>
        <v>1655.08</v>
      </c>
      <c r="M361" s="4">
        <v>1285</v>
      </c>
      <c r="N361" s="4">
        <f t="shared" si="43"/>
        <v>370.07999999999993</v>
      </c>
      <c r="O361" s="16">
        <f t="shared" si="44"/>
        <v>0.22360248447204967</v>
      </c>
      <c r="P361" s="19">
        <v>41760</v>
      </c>
      <c r="Q361" s="5">
        <f t="shared" si="45"/>
        <v>5</v>
      </c>
      <c r="R361" s="3" t="str">
        <f t="shared" si="46"/>
        <v>May</v>
      </c>
      <c r="S361" s="6">
        <f t="shared" si="47"/>
        <v>2014</v>
      </c>
    </row>
    <row r="362" spans="1:19" ht="12.75" x14ac:dyDescent="0.2">
      <c r="A362" s="2" t="s">
        <v>15</v>
      </c>
      <c r="B362" s="2" t="str">
        <f t="shared" si="40"/>
        <v>Government</v>
      </c>
      <c r="C362" s="2" t="s">
        <v>71</v>
      </c>
      <c r="D362" s="2" t="str">
        <f>PROPER(Table1[[#This Row],[Country]])</f>
        <v>Usa</v>
      </c>
      <c r="E362" s="3" t="s">
        <v>32</v>
      </c>
      <c r="F362" s="3" t="s">
        <v>34</v>
      </c>
      <c r="G362" s="13">
        <v>1282</v>
      </c>
      <c r="H362" s="4">
        <v>260</v>
      </c>
      <c r="I362" s="4">
        <v>20</v>
      </c>
      <c r="J362" s="4">
        <f t="shared" si="41"/>
        <v>25640</v>
      </c>
      <c r="K362" s="4">
        <v>2051.1999999999998</v>
      </c>
      <c r="L362" s="4">
        <f t="shared" si="42"/>
        <v>23588.799999999999</v>
      </c>
      <c r="M362" s="4">
        <v>12820</v>
      </c>
      <c r="N362" s="4">
        <f t="shared" si="43"/>
        <v>10768.8</v>
      </c>
      <c r="O362" s="16">
        <f t="shared" si="44"/>
        <v>0.45652173913043476</v>
      </c>
      <c r="P362" s="19">
        <v>41791</v>
      </c>
      <c r="Q362" s="5">
        <f t="shared" si="45"/>
        <v>6</v>
      </c>
      <c r="R362" s="3" t="str">
        <f t="shared" si="46"/>
        <v>June</v>
      </c>
      <c r="S362" s="6">
        <f t="shared" si="47"/>
        <v>2014</v>
      </c>
    </row>
    <row r="363" spans="1:19" ht="12.75" x14ac:dyDescent="0.2">
      <c r="A363" s="2" t="s">
        <v>25</v>
      </c>
      <c r="B363" s="2" t="str">
        <f t="shared" si="40"/>
        <v>Enterprise</v>
      </c>
      <c r="C363" s="2" t="s">
        <v>22</v>
      </c>
      <c r="D363" s="2" t="str">
        <f>PROPER(Table1[[#This Row],[Country]])</f>
        <v>Mexico</v>
      </c>
      <c r="E363" s="3" t="s">
        <v>17</v>
      </c>
      <c r="F363" s="3" t="s">
        <v>34</v>
      </c>
      <c r="G363" s="13">
        <v>1540</v>
      </c>
      <c r="H363" s="4">
        <v>3</v>
      </c>
      <c r="I363" s="4">
        <v>125</v>
      </c>
      <c r="J363" s="4">
        <f t="shared" si="41"/>
        <v>192500</v>
      </c>
      <c r="K363" s="4">
        <v>15400</v>
      </c>
      <c r="L363" s="4">
        <f t="shared" si="42"/>
        <v>177100</v>
      </c>
      <c r="M363" s="4">
        <v>184800</v>
      </c>
      <c r="N363" s="4">
        <f t="shared" si="43"/>
        <v>-7700</v>
      </c>
      <c r="O363" s="16">
        <f t="shared" si="44"/>
        <v>-4.3478260869565216E-2</v>
      </c>
      <c r="P363" s="19">
        <v>41852</v>
      </c>
      <c r="Q363" s="5">
        <f t="shared" si="45"/>
        <v>8</v>
      </c>
      <c r="R363" s="3" t="str">
        <f t="shared" si="46"/>
        <v>August</v>
      </c>
      <c r="S363" s="6">
        <f t="shared" si="47"/>
        <v>2014</v>
      </c>
    </row>
    <row r="364" spans="1:19" ht="12.75" x14ac:dyDescent="0.2">
      <c r="A364" s="2" t="s">
        <v>20</v>
      </c>
      <c r="B364" s="2" t="str">
        <f t="shared" si="40"/>
        <v>Midmarket</v>
      </c>
      <c r="C364" s="2" t="s">
        <v>21</v>
      </c>
      <c r="D364" s="2" t="str">
        <f>PROPER(Table1[[#This Row],[Country]])</f>
        <v>France</v>
      </c>
      <c r="E364" s="3" t="s">
        <v>17</v>
      </c>
      <c r="F364" s="3" t="s">
        <v>34</v>
      </c>
      <c r="G364" s="13">
        <v>490</v>
      </c>
      <c r="H364" s="4">
        <v>3</v>
      </c>
      <c r="I364" s="4">
        <v>15</v>
      </c>
      <c r="J364" s="4">
        <f t="shared" si="41"/>
        <v>7350</v>
      </c>
      <c r="K364" s="4">
        <v>588</v>
      </c>
      <c r="L364" s="4">
        <f t="shared" si="42"/>
        <v>6762</v>
      </c>
      <c r="M364" s="4">
        <v>4900</v>
      </c>
      <c r="N364" s="4">
        <f t="shared" si="43"/>
        <v>1862</v>
      </c>
      <c r="O364" s="16">
        <f t="shared" si="44"/>
        <v>0.27536231884057971</v>
      </c>
      <c r="P364" s="19">
        <v>41944</v>
      </c>
      <c r="Q364" s="5">
        <f t="shared" si="45"/>
        <v>11</v>
      </c>
      <c r="R364" s="3" t="str">
        <f t="shared" si="46"/>
        <v>November</v>
      </c>
      <c r="S364" s="6">
        <f t="shared" si="47"/>
        <v>2014</v>
      </c>
    </row>
    <row r="365" spans="1:19" ht="12.75" x14ac:dyDescent="0.2">
      <c r="A365" s="2" t="s">
        <v>15</v>
      </c>
      <c r="B365" s="2" t="str">
        <f t="shared" si="40"/>
        <v>Government</v>
      </c>
      <c r="C365" s="2" t="s">
        <v>22</v>
      </c>
      <c r="D365" s="2" t="str">
        <f>PROPER(Table1[[#This Row],[Country]])</f>
        <v>Mexico</v>
      </c>
      <c r="E365" s="3" t="s">
        <v>17</v>
      </c>
      <c r="F365" s="3" t="s">
        <v>34</v>
      </c>
      <c r="G365" s="13">
        <v>1362</v>
      </c>
      <c r="H365" s="4">
        <v>3</v>
      </c>
      <c r="I365" s="4">
        <v>350</v>
      </c>
      <c r="J365" s="4">
        <f t="shared" si="41"/>
        <v>476700</v>
      </c>
      <c r="K365" s="4">
        <v>38136</v>
      </c>
      <c r="L365" s="4">
        <f t="shared" si="42"/>
        <v>438564</v>
      </c>
      <c r="M365" s="4">
        <v>354120</v>
      </c>
      <c r="N365" s="4">
        <f t="shared" si="43"/>
        <v>84444</v>
      </c>
      <c r="O365" s="16">
        <f t="shared" si="44"/>
        <v>0.19254658385093168</v>
      </c>
      <c r="P365" s="19">
        <v>41974</v>
      </c>
      <c r="Q365" s="5">
        <f t="shared" si="45"/>
        <v>12</v>
      </c>
      <c r="R365" s="3" t="str">
        <f t="shared" si="46"/>
        <v>December</v>
      </c>
      <c r="S365" s="6">
        <f t="shared" si="47"/>
        <v>2014</v>
      </c>
    </row>
    <row r="366" spans="1:19" ht="12.75" x14ac:dyDescent="0.2">
      <c r="A366" s="2" t="s">
        <v>20</v>
      </c>
      <c r="B366" s="2" t="str">
        <f t="shared" si="40"/>
        <v>Midmarket</v>
      </c>
      <c r="C366" s="2" t="s">
        <v>21</v>
      </c>
      <c r="D366" s="2" t="str">
        <f>PROPER(Table1[[#This Row],[Country]])</f>
        <v>France</v>
      </c>
      <c r="E366" s="3" t="s">
        <v>23</v>
      </c>
      <c r="F366" s="3" t="s">
        <v>34</v>
      </c>
      <c r="G366" s="13">
        <v>2501</v>
      </c>
      <c r="H366" s="4">
        <v>5</v>
      </c>
      <c r="I366" s="4">
        <v>15</v>
      </c>
      <c r="J366" s="4">
        <f t="shared" si="41"/>
        <v>37515</v>
      </c>
      <c r="K366" s="4">
        <v>3001.2</v>
      </c>
      <c r="L366" s="4">
        <f t="shared" si="42"/>
        <v>34513.800000000003</v>
      </c>
      <c r="M366" s="4">
        <v>25010</v>
      </c>
      <c r="N366" s="4">
        <f t="shared" si="43"/>
        <v>9503.8000000000029</v>
      </c>
      <c r="O366" s="16">
        <f t="shared" si="44"/>
        <v>0.27536231884057977</v>
      </c>
      <c r="P366" s="19">
        <v>41699</v>
      </c>
      <c r="Q366" s="5">
        <f t="shared" si="45"/>
        <v>3</v>
      </c>
      <c r="R366" s="3" t="str">
        <f t="shared" si="46"/>
        <v>March</v>
      </c>
      <c r="S366" s="6">
        <f t="shared" si="47"/>
        <v>2014</v>
      </c>
    </row>
    <row r="367" spans="1:19" ht="12.75" x14ac:dyDescent="0.2">
      <c r="A367" s="2" t="s">
        <v>15</v>
      </c>
      <c r="B367" s="2" t="str">
        <f t="shared" si="40"/>
        <v>Government</v>
      </c>
      <c r="C367" s="2" t="s">
        <v>16</v>
      </c>
      <c r="D367" s="2" t="str">
        <f>PROPER(Table1[[#This Row],[Country]])</f>
        <v>Canada</v>
      </c>
      <c r="E367" s="3" t="s">
        <v>23</v>
      </c>
      <c r="F367" s="3" t="s">
        <v>34</v>
      </c>
      <c r="G367" s="13">
        <v>708</v>
      </c>
      <c r="H367" s="4">
        <v>5</v>
      </c>
      <c r="I367" s="4">
        <v>20</v>
      </c>
      <c r="J367" s="4">
        <f t="shared" si="41"/>
        <v>14160</v>
      </c>
      <c r="K367" s="4">
        <v>1132.8</v>
      </c>
      <c r="L367" s="4">
        <f t="shared" si="42"/>
        <v>13027.2</v>
      </c>
      <c r="M367" s="4">
        <v>7080</v>
      </c>
      <c r="N367" s="4">
        <f t="shared" si="43"/>
        <v>5947.2000000000007</v>
      </c>
      <c r="O367" s="16">
        <f t="shared" si="44"/>
        <v>0.45652173913043481</v>
      </c>
      <c r="P367" s="19">
        <v>41791</v>
      </c>
      <c r="Q367" s="5">
        <f t="shared" si="45"/>
        <v>6</v>
      </c>
      <c r="R367" s="3" t="str">
        <f t="shared" si="46"/>
        <v>June</v>
      </c>
      <c r="S367" s="6">
        <f t="shared" si="47"/>
        <v>2014</v>
      </c>
    </row>
    <row r="368" spans="1:19" ht="12.75" x14ac:dyDescent="0.2">
      <c r="A368" s="2" t="s">
        <v>15</v>
      </c>
      <c r="B368" s="2" t="str">
        <f t="shared" si="40"/>
        <v>Government</v>
      </c>
      <c r="C368" s="2" t="s">
        <v>19</v>
      </c>
      <c r="D368" s="2" t="str">
        <f>PROPER(Table1[[#This Row],[Country]])</f>
        <v>Germany</v>
      </c>
      <c r="E368" s="3" t="s">
        <v>23</v>
      </c>
      <c r="F368" s="3" t="s">
        <v>34</v>
      </c>
      <c r="G368" s="13">
        <v>645</v>
      </c>
      <c r="H368" s="4">
        <v>5</v>
      </c>
      <c r="I368" s="4">
        <v>20</v>
      </c>
      <c r="J368" s="4">
        <f t="shared" si="41"/>
        <v>12900</v>
      </c>
      <c r="K368" s="4">
        <v>1032</v>
      </c>
      <c r="L368" s="4">
        <f t="shared" si="42"/>
        <v>11868</v>
      </c>
      <c r="M368" s="4">
        <v>6450</v>
      </c>
      <c r="N368" s="4">
        <f t="shared" si="43"/>
        <v>5418</v>
      </c>
      <c r="O368" s="16">
        <f t="shared" si="44"/>
        <v>0.45652173913043476</v>
      </c>
      <c r="P368" s="19">
        <v>41821</v>
      </c>
      <c r="Q368" s="5">
        <f t="shared" si="45"/>
        <v>7</v>
      </c>
      <c r="R368" s="3" t="str">
        <f t="shared" si="46"/>
        <v>July</v>
      </c>
      <c r="S368" s="6">
        <f t="shared" si="47"/>
        <v>2014</v>
      </c>
    </row>
    <row r="369" spans="1:19" ht="12.75" x14ac:dyDescent="0.2">
      <c r="A369" s="2" t="s">
        <v>29</v>
      </c>
      <c r="B369" s="2" t="str">
        <f t="shared" si="40"/>
        <v>Small Business</v>
      </c>
      <c r="C369" s="2" t="s">
        <v>21</v>
      </c>
      <c r="D369" s="2" t="str">
        <f>PROPER(Table1[[#This Row],[Country]])</f>
        <v>France</v>
      </c>
      <c r="E369" s="3" t="s">
        <v>23</v>
      </c>
      <c r="F369" s="3" t="s">
        <v>34</v>
      </c>
      <c r="G369" s="13">
        <v>1562</v>
      </c>
      <c r="H369" s="4">
        <v>5</v>
      </c>
      <c r="I369" s="4">
        <v>300</v>
      </c>
      <c r="J369" s="4">
        <f t="shared" si="41"/>
        <v>468600</v>
      </c>
      <c r="K369" s="4">
        <v>37488</v>
      </c>
      <c r="L369" s="4">
        <f t="shared" si="42"/>
        <v>431112</v>
      </c>
      <c r="M369" s="4">
        <v>390500</v>
      </c>
      <c r="N369" s="4">
        <f t="shared" si="43"/>
        <v>40612</v>
      </c>
      <c r="O369" s="16">
        <f t="shared" si="44"/>
        <v>9.420289855072464E-2</v>
      </c>
      <c r="P369" s="19">
        <v>41852</v>
      </c>
      <c r="Q369" s="5">
        <f t="shared" si="45"/>
        <v>8</v>
      </c>
      <c r="R369" s="3" t="str">
        <f t="shared" si="46"/>
        <v>August</v>
      </c>
      <c r="S369" s="6">
        <f t="shared" si="47"/>
        <v>2014</v>
      </c>
    </row>
    <row r="370" spans="1:19" ht="12.75" x14ac:dyDescent="0.2">
      <c r="A370" s="2" t="s">
        <v>29</v>
      </c>
      <c r="B370" s="2" t="str">
        <f t="shared" si="40"/>
        <v>Small Business</v>
      </c>
      <c r="C370" s="2" t="s">
        <v>16</v>
      </c>
      <c r="D370" s="2" t="str">
        <f>PROPER(Table1[[#This Row],[Country]])</f>
        <v>Canada</v>
      </c>
      <c r="E370" s="3" t="s">
        <v>23</v>
      </c>
      <c r="F370" s="3" t="s">
        <v>34</v>
      </c>
      <c r="G370" s="13">
        <v>1283</v>
      </c>
      <c r="H370" s="4">
        <v>5</v>
      </c>
      <c r="I370" s="4">
        <v>300</v>
      </c>
      <c r="J370" s="4">
        <f t="shared" si="41"/>
        <v>384900</v>
      </c>
      <c r="K370" s="4">
        <v>30792</v>
      </c>
      <c r="L370" s="4">
        <f t="shared" si="42"/>
        <v>354108</v>
      </c>
      <c r="M370" s="4">
        <v>320750</v>
      </c>
      <c r="N370" s="4">
        <f t="shared" si="43"/>
        <v>33358</v>
      </c>
      <c r="O370" s="16">
        <f t="shared" si="44"/>
        <v>9.420289855072464E-2</v>
      </c>
      <c r="P370" s="19">
        <v>41518</v>
      </c>
      <c r="Q370" s="5">
        <f t="shared" si="45"/>
        <v>9</v>
      </c>
      <c r="R370" s="3" t="str">
        <f t="shared" si="46"/>
        <v>September</v>
      </c>
      <c r="S370" s="6">
        <f t="shared" si="47"/>
        <v>2013</v>
      </c>
    </row>
    <row r="371" spans="1:19" ht="12.75" x14ac:dyDescent="0.2">
      <c r="A371" s="2" t="s">
        <v>20</v>
      </c>
      <c r="B371" s="2" t="str">
        <f t="shared" si="40"/>
        <v>Midmarket</v>
      </c>
      <c r="C371" s="2" t="s">
        <v>19</v>
      </c>
      <c r="D371" s="2" t="str">
        <f>PROPER(Table1[[#This Row],[Country]])</f>
        <v>Germany</v>
      </c>
      <c r="E371" s="3" t="s">
        <v>23</v>
      </c>
      <c r="F371" s="3" t="s">
        <v>34</v>
      </c>
      <c r="G371" s="13">
        <v>711</v>
      </c>
      <c r="H371" s="4">
        <v>5</v>
      </c>
      <c r="I371" s="4">
        <v>15</v>
      </c>
      <c r="J371" s="4">
        <f t="shared" si="41"/>
        <v>10665</v>
      </c>
      <c r="K371" s="4">
        <v>853.2</v>
      </c>
      <c r="L371" s="4">
        <f t="shared" si="42"/>
        <v>9811.7999999999993</v>
      </c>
      <c r="M371" s="4">
        <v>7110</v>
      </c>
      <c r="N371" s="4">
        <f t="shared" si="43"/>
        <v>2701.7999999999993</v>
      </c>
      <c r="O371" s="16">
        <f t="shared" si="44"/>
        <v>0.27536231884057966</v>
      </c>
      <c r="P371" s="19">
        <v>41974</v>
      </c>
      <c r="Q371" s="5">
        <f t="shared" si="45"/>
        <v>12</v>
      </c>
      <c r="R371" s="3" t="str">
        <f t="shared" si="46"/>
        <v>December</v>
      </c>
      <c r="S371" s="6">
        <f t="shared" si="47"/>
        <v>2014</v>
      </c>
    </row>
    <row r="372" spans="1:19" ht="12.75" x14ac:dyDescent="0.2">
      <c r="A372" s="2" t="s">
        <v>25</v>
      </c>
      <c r="B372" s="2" t="str">
        <f t="shared" si="40"/>
        <v>Enterprise</v>
      </c>
      <c r="C372" s="2" t="s">
        <v>22</v>
      </c>
      <c r="D372" s="2" t="str">
        <f>PROPER(Table1[[#This Row],[Country]])</f>
        <v>Mexico</v>
      </c>
      <c r="E372" s="3" t="s">
        <v>28</v>
      </c>
      <c r="F372" s="3" t="s">
        <v>34</v>
      </c>
      <c r="G372" s="13">
        <v>1114</v>
      </c>
      <c r="H372" s="4">
        <v>10</v>
      </c>
      <c r="I372" s="4">
        <v>125</v>
      </c>
      <c r="J372" s="4">
        <f t="shared" si="41"/>
        <v>139250</v>
      </c>
      <c r="K372" s="4">
        <v>11140</v>
      </c>
      <c r="L372" s="4">
        <f t="shared" si="42"/>
        <v>128110</v>
      </c>
      <c r="M372" s="4">
        <v>133680</v>
      </c>
      <c r="N372" s="4">
        <f t="shared" si="43"/>
        <v>-5570</v>
      </c>
      <c r="O372" s="16">
        <f t="shared" si="44"/>
        <v>-4.3478260869565216E-2</v>
      </c>
      <c r="P372" s="19">
        <v>41699</v>
      </c>
      <c r="Q372" s="5">
        <f t="shared" si="45"/>
        <v>3</v>
      </c>
      <c r="R372" s="3" t="str">
        <f t="shared" si="46"/>
        <v>March</v>
      </c>
      <c r="S372" s="6">
        <f t="shared" si="47"/>
        <v>2014</v>
      </c>
    </row>
    <row r="373" spans="1:19" ht="12.75" x14ac:dyDescent="0.2">
      <c r="A373" s="2" t="s">
        <v>15</v>
      </c>
      <c r="B373" s="2" t="str">
        <f t="shared" si="40"/>
        <v>Government</v>
      </c>
      <c r="C373" s="2" t="s">
        <v>19</v>
      </c>
      <c r="D373" s="2" t="str">
        <f>PROPER(Table1[[#This Row],[Country]])</f>
        <v>Germany</v>
      </c>
      <c r="E373" s="3" t="s">
        <v>28</v>
      </c>
      <c r="F373" s="3" t="s">
        <v>34</v>
      </c>
      <c r="G373" s="13">
        <v>1259</v>
      </c>
      <c r="H373" s="4">
        <v>10</v>
      </c>
      <c r="I373" s="4">
        <v>7</v>
      </c>
      <c r="J373" s="4">
        <f t="shared" si="41"/>
        <v>8813</v>
      </c>
      <c r="K373" s="4">
        <v>705.04</v>
      </c>
      <c r="L373" s="4">
        <f t="shared" si="42"/>
        <v>8107.96</v>
      </c>
      <c r="M373" s="4">
        <v>6295</v>
      </c>
      <c r="N373" s="4">
        <f t="shared" si="43"/>
        <v>1812.96</v>
      </c>
      <c r="O373" s="16">
        <f t="shared" si="44"/>
        <v>0.2236024844720497</v>
      </c>
      <c r="P373" s="19">
        <v>41730</v>
      </c>
      <c r="Q373" s="5">
        <f t="shared" si="45"/>
        <v>4</v>
      </c>
      <c r="R373" s="3" t="str">
        <f t="shared" si="46"/>
        <v>April</v>
      </c>
      <c r="S373" s="6">
        <f t="shared" si="47"/>
        <v>2014</v>
      </c>
    </row>
    <row r="374" spans="1:19" ht="12.75" x14ac:dyDescent="0.2">
      <c r="A374" s="2" t="s">
        <v>15</v>
      </c>
      <c r="B374" s="2" t="str">
        <f t="shared" si="40"/>
        <v>Government</v>
      </c>
      <c r="C374" s="2" t="s">
        <v>19</v>
      </c>
      <c r="D374" s="2" t="str">
        <f>PROPER(Table1[[#This Row],[Country]])</f>
        <v>Germany</v>
      </c>
      <c r="E374" s="3" t="s">
        <v>28</v>
      </c>
      <c r="F374" s="3" t="s">
        <v>34</v>
      </c>
      <c r="G374" s="13">
        <v>1095</v>
      </c>
      <c r="H374" s="4">
        <v>10</v>
      </c>
      <c r="I374" s="4">
        <v>7</v>
      </c>
      <c r="J374" s="4">
        <f t="shared" si="41"/>
        <v>7665</v>
      </c>
      <c r="K374" s="4">
        <v>613.20000000000005</v>
      </c>
      <c r="L374" s="4">
        <f t="shared" si="42"/>
        <v>7051.8</v>
      </c>
      <c r="M374" s="4">
        <v>5475</v>
      </c>
      <c r="N374" s="4">
        <f t="shared" si="43"/>
        <v>1576.8000000000002</v>
      </c>
      <c r="O374" s="16">
        <f t="shared" si="44"/>
        <v>0.22360248447204972</v>
      </c>
      <c r="P374" s="19">
        <v>41760</v>
      </c>
      <c r="Q374" s="5">
        <f t="shared" si="45"/>
        <v>5</v>
      </c>
      <c r="R374" s="3" t="str">
        <f t="shared" si="46"/>
        <v>May</v>
      </c>
      <c r="S374" s="6">
        <f t="shared" si="47"/>
        <v>2014</v>
      </c>
    </row>
    <row r="375" spans="1:19" ht="12.75" x14ac:dyDescent="0.2">
      <c r="A375" s="2" t="s">
        <v>15</v>
      </c>
      <c r="B375" s="2" t="str">
        <f t="shared" si="40"/>
        <v>Government</v>
      </c>
      <c r="C375" s="2" t="s">
        <v>19</v>
      </c>
      <c r="D375" s="2" t="str">
        <f>PROPER(Table1[[#This Row],[Country]])</f>
        <v>Germany</v>
      </c>
      <c r="E375" s="3" t="s">
        <v>28</v>
      </c>
      <c r="F375" s="3" t="s">
        <v>34</v>
      </c>
      <c r="G375" s="13">
        <v>1366</v>
      </c>
      <c r="H375" s="4">
        <v>10</v>
      </c>
      <c r="I375" s="4">
        <v>20</v>
      </c>
      <c r="J375" s="4">
        <f t="shared" si="41"/>
        <v>27320</v>
      </c>
      <c r="K375" s="4">
        <v>2185.6</v>
      </c>
      <c r="L375" s="4">
        <f t="shared" si="42"/>
        <v>25134.400000000001</v>
      </c>
      <c r="M375" s="4">
        <v>13660</v>
      </c>
      <c r="N375" s="4">
        <f t="shared" si="43"/>
        <v>11474.400000000001</v>
      </c>
      <c r="O375" s="16">
        <f t="shared" si="44"/>
        <v>0.45652173913043481</v>
      </c>
      <c r="P375" s="19">
        <v>41791</v>
      </c>
      <c r="Q375" s="5">
        <f t="shared" si="45"/>
        <v>6</v>
      </c>
      <c r="R375" s="3" t="str">
        <f t="shared" si="46"/>
        <v>June</v>
      </c>
      <c r="S375" s="6">
        <f t="shared" si="47"/>
        <v>2014</v>
      </c>
    </row>
    <row r="376" spans="1:19" ht="12.75" x14ac:dyDescent="0.2">
      <c r="A376" s="2" t="s">
        <v>29</v>
      </c>
      <c r="B376" s="2" t="str">
        <f t="shared" si="40"/>
        <v>Small Business</v>
      </c>
      <c r="C376" s="2" t="s">
        <v>22</v>
      </c>
      <c r="D376" s="2" t="str">
        <f>PROPER(Table1[[#This Row],[Country]])</f>
        <v>Mexico</v>
      </c>
      <c r="E376" s="3" t="s">
        <v>28</v>
      </c>
      <c r="F376" s="3" t="s">
        <v>34</v>
      </c>
      <c r="G376" s="13">
        <v>2460</v>
      </c>
      <c r="H376" s="4">
        <v>10</v>
      </c>
      <c r="I376" s="4">
        <v>300</v>
      </c>
      <c r="J376" s="4">
        <f t="shared" si="41"/>
        <v>738000</v>
      </c>
      <c r="K376" s="4">
        <v>59040</v>
      </c>
      <c r="L376" s="4">
        <f t="shared" si="42"/>
        <v>678960</v>
      </c>
      <c r="M376" s="4">
        <v>615000</v>
      </c>
      <c r="N376" s="4">
        <f t="shared" si="43"/>
        <v>63960</v>
      </c>
      <c r="O376" s="16">
        <f t="shared" si="44"/>
        <v>9.420289855072464E-2</v>
      </c>
      <c r="P376" s="19">
        <v>41791</v>
      </c>
      <c r="Q376" s="5">
        <f t="shared" si="45"/>
        <v>6</v>
      </c>
      <c r="R376" s="3" t="str">
        <f t="shared" si="46"/>
        <v>June</v>
      </c>
      <c r="S376" s="6">
        <f t="shared" si="47"/>
        <v>2014</v>
      </c>
    </row>
    <row r="377" spans="1:19" ht="12.75" x14ac:dyDescent="0.2">
      <c r="A377" s="2" t="s">
        <v>15</v>
      </c>
      <c r="B377" s="2" t="str">
        <f t="shared" si="40"/>
        <v>Government</v>
      </c>
      <c r="C377" s="2" t="s">
        <v>71</v>
      </c>
      <c r="D377" s="2" t="str">
        <f>PROPER(Table1[[#This Row],[Country]])</f>
        <v>Usa</v>
      </c>
      <c r="E377" s="3" t="s">
        <v>28</v>
      </c>
      <c r="F377" s="3" t="s">
        <v>34</v>
      </c>
      <c r="G377" s="13">
        <v>678</v>
      </c>
      <c r="H377" s="4">
        <v>10</v>
      </c>
      <c r="I377" s="4">
        <v>7</v>
      </c>
      <c r="J377" s="4">
        <f t="shared" si="41"/>
        <v>4746</v>
      </c>
      <c r="K377" s="4">
        <v>379.68</v>
      </c>
      <c r="L377" s="4">
        <f t="shared" si="42"/>
        <v>4366.32</v>
      </c>
      <c r="M377" s="4">
        <v>3390</v>
      </c>
      <c r="N377" s="4">
        <f t="shared" si="43"/>
        <v>976.31999999999971</v>
      </c>
      <c r="O377" s="16">
        <f t="shared" si="44"/>
        <v>0.22360248447204964</v>
      </c>
      <c r="P377" s="19">
        <v>41852</v>
      </c>
      <c r="Q377" s="5">
        <f t="shared" si="45"/>
        <v>8</v>
      </c>
      <c r="R377" s="3" t="str">
        <f t="shared" si="46"/>
        <v>August</v>
      </c>
      <c r="S377" s="6">
        <f t="shared" si="47"/>
        <v>2014</v>
      </c>
    </row>
    <row r="378" spans="1:19" ht="12.75" x14ac:dyDescent="0.2">
      <c r="A378" s="2" t="s">
        <v>15</v>
      </c>
      <c r="B378" s="2" t="str">
        <f t="shared" si="40"/>
        <v>Government</v>
      </c>
      <c r="C378" s="2" t="s">
        <v>19</v>
      </c>
      <c r="D378" s="2" t="str">
        <f>PROPER(Table1[[#This Row],[Country]])</f>
        <v>Germany</v>
      </c>
      <c r="E378" s="3" t="s">
        <v>28</v>
      </c>
      <c r="F378" s="3" t="s">
        <v>34</v>
      </c>
      <c r="G378" s="13">
        <v>1598</v>
      </c>
      <c r="H378" s="4">
        <v>10</v>
      </c>
      <c r="I378" s="4">
        <v>7</v>
      </c>
      <c r="J378" s="4">
        <f t="shared" si="41"/>
        <v>11186</v>
      </c>
      <c r="K378" s="4">
        <v>894.88</v>
      </c>
      <c r="L378" s="4">
        <f t="shared" si="42"/>
        <v>10291.120000000001</v>
      </c>
      <c r="M378" s="4">
        <v>7990</v>
      </c>
      <c r="N378" s="4">
        <f t="shared" si="43"/>
        <v>2301.1200000000008</v>
      </c>
      <c r="O378" s="16">
        <f t="shared" si="44"/>
        <v>0.22360248447204975</v>
      </c>
      <c r="P378" s="19">
        <v>41852</v>
      </c>
      <c r="Q378" s="5">
        <f t="shared" si="45"/>
        <v>8</v>
      </c>
      <c r="R378" s="3" t="str">
        <f t="shared" si="46"/>
        <v>August</v>
      </c>
      <c r="S378" s="6">
        <f t="shared" si="47"/>
        <v>2014</v>
      </c>
    </row>
    <row r="379" spans="1:19" ht="12.75" x14ac:dyDescent="0.2">
      <c r="A379" s="2" t="s">
        <v>15</v>
      </c>
      <c r="B379" s="2" t="str">
        <f t="shared" si="40"/>
        <v>Government</v>
      </c>
      <c r="C379" s="2" t="s">
        <v>19</v>
      </c>
      <c r="D379" s="2" t="str">
        <f>PROPER(Table1[[#This Row],[Country]])</f>
        <v>Germany</v>
      </c>
      <c r="E379" s="3" t="s">
        <v>28</v>
      </c>
      <c r="F379" s="3" t="s">
        <v>34</v>
      </c>
      <c r="G379" s="13">
        <v>2409</v>
      </c>
      <c r="H379" s="4">
        <v>10</v>
      </c>
      <c r="I379" s="4">
        <v>7</v>
      </c>
      <c r="J379" s="4">
        <f t="shared" si="41"/>
        <v>16863</v>
      </c>
      <c r="K379" s="4">
        <v>1349.04</v>
      </c>
      <c r="L379" s="4">
        <f t="shared" si="42"/>
        <v>15513.96</v>
      </c>
      <c r="M379" s="4">
        <v>12045</v>
      </c>
      <c r="N379" s="4">
        <f t="shared" si="43"/>
        <v>3468.9599999999991</v>
      </c>
      <c r="O379" s="16">
        <f t="shared" si="44"/>
        <v>0.22360248447204964</v>
      </c>
      <c r="P379" s="19">
        <v>41518</v>
      </c>
      <c r="Q379" s="5">
        <f t="shared" si="45"/>
        <v>9</v>
      </c>
      <c r="R379" s="3" t="str">
        <f t="shared" si="46"/>
        <v>September</v>
      </c>
      <c r="S379" s="6">
        <f t="shared" si="47"/>
        <v>2013</v>
      </c>
    </row>
    <row r="380" spans="1:19" ht="12.75" x14ac:dyDescent="0.2">
      <c r="A380" s="2" t="s">
        <v>15</v>
      </c>
      <c r="B380" s="2" t="str">
        <f t="shared" si="40"/>
        <v>Government</v>
      </c>
      <c r="C380" s="2" t="s">
        <v>19</v>
      </c>
      <c r="D380" s="2" t="str">
        <f>PROPER(Table1[[#This Row],[Country]])</f>
        <v>Germany</v>
      </c>
      <c r="E380" s="3" t="s">
        <v>28</v>
      </c>
      <c r="F380" s="3" t="s">
        <v>34</v>
      </c>
      <c r="G380" s="13">
        <v>1934</v>
      </c>
      <c r="H380" s="4">
        <v>10</v>
      </c>
      <c r="I380" s="4">
        <v>20</v>
      </c>
      <c r="J380" s="4">
        <f t="shared" si="41"/>
        <v>38680</v>
      </c>
      <c r="K380" s="4">
        <v>3094.4</v>
      </c>
      <c r="L380" s="4">
        <f t="shared" si="42"/>
        <v>35585.599999999999</v>
      </c>
      <c r="M380" s="4">
        <v>19340</v>
      </c>
      <c r="N380" s="4">
        <f t="shared" si="43"/>
        <v>16245.599999999999</v>
      </c>
      <c r="O380" s="16">
        <f t="shared" si="44"/>
        <v>0.45652173913043476</v>
      </c>
      <c r="P380" s="19">
        <v>41883</v>
      </c>
      <c r="Q380" s="5">
        <f t="shared" si="45"/>
        <v>9</v>
      </c>
      <c r="R380" s="3" t="str">
        <f t="shared" si="46"/>
        <v>September</v>
      </c>
      <c r="S380" s="6">
        <f t="shared" si="47"/>
        <v>2014</v>
      </c>
    </row>
    <row r="381" spans="1:19" ht="12.75" x14ac:dyDescent="0.2">
      <c r="A381" s="2" t="s">
        <v>15</v>
      </c>
      <c r="B381" s="2" t="str">
        <f t="shared" si="40"/>
        <v>Government</v>
      </c>
      <c r="C381" s="2" t="s">
        <v>22</v>
      </c>
      <c r="D381" s="2" t="str">
        <f>PROPER(Table1[[#This Row],[Country]])</f>
        <v>Mexico</v>
      </c>
      <c r="E381" s="3" t="s">
        <v>28</v>
      </c>
      <c r="F381" s="3" t="s">
        <v>34</v>
      </c>
      <c r="G381" s="13">
        <v>2993</v>
      </c>
      <c r="H381" s="4">
        <v>10</v>
      </c>
      <c r="I381" s="4">
        <v>20</v>
      </c>
      <c r="J381" s="4">
        <f t="shared" si="41"/>
        <v>59860</v>
      </c>
      <c r="K381" s="4">
        <v>4788.8</v>
      </c>
      <c r="L381" s="4">
        <f t="shared" si="42"/>
        <v>55071.199999999997</v>
      </c>
      <c r="M381" s="4">
        <v>29930</v>
      </c>
      <c r="N381" s="4">
        <f t="shared" si="43"/>
        <v>25141.199999999997</v>
      </c>
      <c r="O381" s="16">
        <f t="shared" si="44"/>
        <v>0.45652173913043476</v>
      </c>
      <c r="P381" s="19">
        <v>41883</v>
      </c>
      <c r="Q381" s="5">
        <f t="shared" si="45"/>
        <v>9</v>
      </c>
      <c r="R381" s="3" t="str">
        <f t="shared" si="46"/>
        <v>September</v>
      </c>
      <c r="S381" s="6">
        <f t="shared" si="47"/>
        <v>2014</v>
      </c>
    </row>
    <row r="382" spans="1:19" ht="12.75" x14ac:dyDescent="0.2">
      <c r="A382" s="2" t="s">
        <v>15</v>
      </c>
      <c r="B382" s="2" t="str">
        <f t="shared" si="40"/>
        <v>Government</v>
      </c>
      <c r="C382" s="2" t="s">
        <v>19</v>
      </c>
      <c r="D382" s="2" t="str">
        <f>PROPER(Table1[[#This Row],[Country]])</f>
        <v>Germany</v>
      </c>
      <c r="E382" s="3" t="s">
        <v>28</v>
      </c>
      <c r="F382" s="3" t="s">
        <v>34</v>
      </c>
      <c r="G382" s="13">
        <v>2146</v>
      </c>
      <c r="H382" s="4">
        <v>10</v>
      </c>
      <c r="I382" s="4">
        <v>350</v>
      </c>
      <c r="J382" s="4">
        <f t="shared" si="41"/>
        <v>751100</v>
      </c>
      <c r="K382" s="4">
        <v>60088</v>
      </c>
      <c r="L382" s="4">
        <f t="shared" si="42"/>
        <v>691012</v>
      </c>
      <c r="M382" s="4">
        <v>557960</v>
      </c>
      <c r="N382" s="4">
        <f t="shared" si="43"/>
        <v>133052</v>
      </c>
      <c r="O382" s="16">
        <f t="shared" si="44"/>
        <v>0.19254658385093168</v>
      </c>
      <c r="P382" s="19">
        <v>41579</v>
      </c>
      <c r="Q382" s="5">
        <f t="shared" si="45"/>
        <v>11</v>
      </c>
      <c r="R382" s="3" t="str">
        <f t="shared" si="46"/>
        <v>November</v>
      </c>
      <c r="S382" s="6">
        <f t="shared" si="47"/>
        <v>2013</v>
      </c>
    </row>
    <row r="383" spans="1:19" ht="12.75" x14ac:dyDescent="0.2">
      <c r="A383" s="2" t="s">
        <v>15</v>
      </c>
      <c r="B383" s="2" t="str">
        <f t="shared" si="40"/>
        <v>Government</v>
      </c>
      <c r="C383" s="2" t="s">
        <v>22</v>
      </c>
      <c r="D383" s="2" t="str">
        <f>PROPER(Table1[[#This Row],[Country]])</f>
        <v>Mexico</v>
      </c>
      <c r="E383" s="3" t="s">
        <v>28</v>
      </c>
      <c r="F383" s="3" t="s">
        <v>34</v>
      </c>
      <c r="G383" s="13">
        <v>1946</v>
      </c>
      <c r="H383" s="4">
        <v>10</v>
      </c>
      <c r="I383" s="4">
        <v>7</v>
      </c>
      <c r="J383" s="4">
        <f t="shared" si="41"/>
        <v>13622</v>
      </c>
      <c r="K383" s="4">
        <v>1089.76</v>
      </c>
      <c r="L383" s="4">
        <f t="shared" si="42"/>
        <v>12532.24</v>
      </c>
      <c r="M383" s="4">
        <v>9730</v>
      </c>
      <c r="N383" s="4">
        <f t="shared" si="43"/>
        <v>2802.24</v>
      </c>
      <c r="O383" s="16">
        <f t="shared" si="44"/>
        <v>0.22360248447204967</v>
      </c>
      <c r="P383" s="19">
        <v>41609</v>
      </c>
      <c r="Q383" s="5">
        <f t="shared" si="45"/>
        <v>12</v>
      </c>
      <c r="R383" s="3" t="str">
        <f t="shared" si="46"/>
        <v>December</v>
      </c>
      <c r="S383" s="6">
        <f t="shared" si="47"/>
        <v>2013</v>
      </c>
    </row>
    <row r="384" spans="1:19" ht="12.75" x14ac:dyDescent="0.2">
      <c r="A384" s="2" t="s">
        <v>15</v>
      </c>
      <c r="B384" s="2" t="str">
        <f t="shared" si="40"/>
        <v>Government</v>
      </c>
      <c r="C384" s="2" t="s">
        <v>22</v>
      </c>
      <c r="D384" s="2" t="str">
        <f>PROPER(Table1[[#This Row],[Country]])</f>
        <v>Mexico</v>
      </c>
      <c r="E384" s="3" t="s">
        <v>28</v>
      </c>
      <c r="F384" s="3" t="s">
        <v>34</v>
      </c>
      <c r="G384" s="13">
        <v>1362</v>
      </c>
      <c r="H384" s="4">
        <v>10</v>
      </c>
      <c r="I384" s="4">
        <v>350</v>
      </c>
      <c r="J384" s="4">
        <f t="shared" si="41"/>
        <v>476700</v>
      </c>
      <c r="K384" s="4">
        <v>38136</v>
      </c>
      <c r="L384" s="4">
        <f t="shared" si="42"/>
        <v>438564</v>
      </c>
      <c r="M384" s="4">
        <v>354120</v>
      </c>
      <c r="N384" s="4">
        <f t="shared" si="43"/>
        <v>84444</v>
      </c>
      <c r="O384" s="16">
        <f t="shared" si="44"/>
        <v>0.19254658385093168</v>
      </c>
      <c r="P384" s="19">
        <v>41974</v>
      </c>
      <c r="Q384" s="5">
        <f t="shared" si="45"/>
        <v>12</v>
      </c>
      <c r="R384" s="3" t="str">
        <f t="shared" si="46"/>
        <v>December</v>
      </c>
      <c r="S384" s="6">
        <f t="shared" si="47"/>
        <v>2014</v>
      </c>
    </row>
    <row r="385" spans="1:19" ht="12.75" x14ac:dyDescent="0.2">
      <c r="A385" s="2" t="s">
        <v>24</v>
      </c>
      <c r="B385" s="2" t="str">
        <f t="shared" si="40"/>
        <v>Channel Partners</v>
      </c>
      <c r="C385" s="2" t="s">
        <v>16</v>
      </c>
      <c r="D385" s="2" t="str">
        <f>PROPER(Table1[[#This Row],[Country]])</f>
        <v>Canada</v>
      </c>
      <c r="E385" s="3" t="s">
        <v>30</v>
      </c>
      <c r="F385" s="3" t="s">
        <v>34</v>
      </c>
      <c r="G385" s="13">
        <v>598</v>
      </c>
      <c r="H385" s="4">
        <v>120</v>
      </c>
      <c r="I385" s="4">
        <v>12</v>
      </c>
      <c r="J385" s="4">
        <f t="shared" si="41"/>
        <v>7176</v>
      </c>
      <c r="K385" s="4">
        <v>574.08000000000004</v>
      </c>
      <c r="L385" s="4">
        <f t="shared" si="42"/>
        <v>6601.92</v>
      </c>
      <c r="M385" s="4">
        <v>1794</v>
      </c>
      <c r="N385" s="4">
        <f t="shared" si="43"/>
        <v>4807.92</v>
      </c>
      <c r="O385" s="16">
        <f t="shared" si="44"/>
        <v>0.72826086956521741</v>
      </c>
      <c r="P385" s="19">
        <v>41699</v>
      </c>
      <c r="Q385" s="5">
        <f t="shared" si="45"/>
        <v>3</v>
      </c>
      <c r="R385" s="3" t="str">
        <f t="shared" si="46"/>
        <v>March</v>
      </c>
      <c r="S385" s="6">
        <f t="shared" si="47"/>
        <v>2014</v>
      </c>
    </row>
    <row r="386" spans="1:19" ht="12.75" x14ac:dyDescent="0.2">
      <c r="A386" s="2" t="s">
        <v>15</v>
      </c>
      <c r="B386" s="2" t="str">
        <f t="shared" ref="B386:B449" si="48">PROPER(A386)</f>
        <v>Government</v>
      </c>
      <c r="C386" s="2" t="s">
        <v>71</v>
      </c>
      <c r="D386" s="2" t="str">
        <f>PROPER(Table1[[#This Row],[Country]])</f>
        <v>Usa</v>
      </c>
      <c r="E386" s="3" t="s">
        <v>30</v>
      </c>
      <c r="F386" s="3" t="s">
        <v>34</v>
      </c>
      <c r="G386" s="13">
        <v>2907</v>
      </c>
      <c r="H386" s="4">
        <v>120</v>
      </c>
      <c r="I386" s="4">
        <v>7</v>
      </c>
      <c r="J386" s="4">
        <f t="shared" si="41"/>
        <v>20349</v>
      </c>
      <c r="K386" s="4">
        <v>1627.92</v>
      </c>
      <c r="L386" s="4">
        <f t="shared" si="42"/>
        <v>18721.080000000002</v>
      </c>
      <c r="M386" s="4">
        <v>14535</v>
      </c>
      <c r="N386" s="4">
        <f t="shared" si="43"/>
        <v>4186.0800000000017</v>
      </c>
      <c r="O386" s="16">
        <f t="shared" si="44"/>
        <v>0.22360248447204975</v>
      </c>
      <c r="P386" s="19">
        <v>41791</v>
      </c>
      <c r="Q386" s="5">
        <f t="shared" si="45"/>
        <v>6</v>
      </c>
      <c r="R386" s="3" t="str">
        <f t="shared" si="46"/>
        <v>June</v>
      </c>
      <c r="S386" s="6">
        <f t="shared" si="47"/>
        <v>2014</v>
      </c>
    </row>
    <row r="387" spans="1:19" ht="12.75" x14ac:dyDescent="0.2">
      <c r="A387" s="2" t="s">
        <v>15</v>
      </c>
      <c r="B387" s="2" t="str">
        <f t="shared" si="48"/>
        <v>Government</v>
      </c>
      <c r="C387" s="2" t="s">
        <v>19</v>
      </c>
      <c r="D387" s="2" t="str">
        <f>PROPER(Table1[[#This Row],[Country]])</f>
        <v>Germany</v>
      </c>
      <c r="E387" s="3" t="s">
        <v>30</v>
      </c>
      <c r="F387" s="3" t="s">
        <v>34</v>
      </c>
      <c r="G387" s="13">
        <v>2338</v>
      </c>
      <c r="H387" s="4">
        <v>120</v>
      </c>
      <c r="I387" s="4">
        <v>7</v>
      </c>
      <c r="J387" s="4">
        <f t="shared" ref="J387:J450" si="49">G387*I387</f>
        <v>16366</v>
      </c>
      <c r="K387" s="4">
        <v>1309.28</v>
      </c>
      <c r="L387" s="4">
        <f t="shared" ref="L387:L450" si="50">J387-K387</f>
        <v>15056.72</v>
      </c>
      <c r="M387" s="4">
        <v>11690</v>
      </c>
      <c r="N387" s="4">
        <f t="shared" ref="N387:N450" si="51">L387-M387</f>
        <v>3366.7199999999993</v>
      </c>
      <c r="O387" s="16">
        <f t="shared" ref="O387:O450" si="52">N387/L387</f>
        <v>0.22360248447204967</v>
      </c>
      <c r="P387" s="19">
        <v>41791</v>
      </c>
      <c r="Q387" s="5">
        <f t="shared" ref="Q387:Q450" si="53">MONTH(P387)</f>
        <v>6</v>
      </c>
      <c r="R387" s="3" t="str">
        <f t="shared" ref="R387:R450" si="54">TEXT(P387,"mmmm")</f>
        <v>June</v>
      </c>
      <c r="S387" s="6">
        <f t="shared" ref="S387:S450" si="55">YEAR(P387)</f>
        <v>2014</v>
      </c>
    </row>
    <row r="388" spans="1:19" ht="12.75" x14ac:dyDescent="0.2">
      <c r="A388" s="2" t="s">
        <v>29</v>
      </c>
      <c r="B388" s="2" t="str">
        <f t="shared" si="48"/>
        <v>Small Business</v>
      </c>
      <c r="C388" s="2" t="s">
        <v>21</v>
      </c>
      <c r="D388" s="2" t="str">
        <f>PROPER(Table1[[#This Row],[Country]])</f>
        <v>France</v>
      </c>
      <c r="E388" s="3" t="s">
        <v>30</v>
      </c>
      <c r="F388" s="3" t="s">
        <v>34</v>
      </c>
      <c r="G388" s="13">
        <v>386</v>
      </c>
      <c r="H388" s="4">
        <v>120</v>
      </c>
      <c r="I388" s="4">
        <v>300</v>
      </c>
      <c r="J388" s="4">
        <f t="shared" si="49"/>
        <v>115800</v>
      </c>
      <c r="K388" s="4">
        <v>9264</v>
      </c>
      <c r="L388" s="4">
        <f t="shared" si="50"/>
        <v>106536</v>
      </c>
      <c r="M388" s="4">
        <v>96500</v>
      </c>
      <c r="N388" s="4">
        <f t="shared" si="51"/>
        <v>10036</v>
      </c>
      <c r="O388" s="16">
        <f t="shared" si="52"/>
        <v>9.420289855072464E-2</v>
      </c>
      <c r="P388" s="19">
        <v>41579</v>
      </c>
      <c r="Q388" s="5">
        <f t="shared" si="53"/>
        <v>11</v>
      </c>
      <c r="R388" s="3" t="str">
        <f t="shared" si="54"/>
        <v>November</v>
      </c>
      <c r="S388" s="6">
        <f t="shared" si="55"/>
        <v>2013</v>
      </c>
    </row>
    <row r="389" spans="1:19" ht="12.75" x14ac:dyDescent="0.2">
      <c r="A389" s="2" t="s">
        <v>29</v>
      </c>
      <c r="B389" s="2" t="str">
        <f t="shared" si="48"/>
        <v>Small Business</v>
      </c>
      <c r="C389" s="2" t="s">
        <v>22</v>
      </c>
      <c r="D389" s="2" t="str">
        <f>PROPER(Table1[[#This Row],[Country]])</f>
        <v>Mexico</v>
      </c>
      <c r="E389" s="3" t="s">
        <v>30</v>
      </c>
      <c r="F389" s="3" t="s">
        <v>34</v>
      </c>
      <c r="G389" s="13">
        <v>635</v>
      </c>
      <c r="H389" s="4">
        <v>120</v>
      </c>
      <c r="I389" s="4">
        <v>300</v>
      </c>
      <c r="J389" s="4">
        <f t="shared" si="49"/>
        <v>190500</v>
      </c>
      <c r="K389" s="4">
        <v>15240</v>
      </c>
      <c r="L389" s="4">
        <f t="shared" si="50"/>
        <v>175260</v>
      </c>
      <c r="M389" s="4">
        <v>158750</v>
      </c>
      <c r="N389" s="4">
        <f t="shared" si="51"/>
        <v>16510</v>
      </c>
      <c r="O389" s="16">
        <f t="shared" si="52"/>
        <v>9.420289855072464E-2</v>
      </c>
      <c r="P389" s="19">
        <v>41974</v>
      </c>
      <c r="Q389" s="5">
        <f t="shared" si="53"/>
        <v>12</v>
      </c>
      <c r="R389" s="3" t="str">
        <f t="shared" si="54"/>
        <v>December</v>
      </c>
      <c r="S389" s="6">
        <f t="shared" si="55"/>
        <v>2014</v>
      </c>
    </row>
    <row r="390" spans="1:19" ht="12.75" x14ac:dyDescent="0.2">
      <c r="A390" s="2" t="s">
        <v>15</v>
      </c>
      <c r="B390" s="2" t="str">
        <f t="shared" si="48"/>
        <v>Government</v>
      </c>
      <c r="C390" s="2" t="s">
        <v>21</v>
      </c>
      <c r="D390" s="2" t="str">
        <f>PROPER(Table1[[#This Row],[Country]])</f>
        <v>France</v>
      </c>
      <c r="E390" s="3" t="s">
        <v>31</v>
      </c>
      <c r="F390" s="3" t="s">
        <v>34</v>
      </c>
      <c r="G390" s="13">
        <v>574.5</v>
      </c>
      <c r="H390" s="4">
        <v>250</v>
      </c>
      <c r="I390" s="4">
        <v>350</v>
      </c>
      <c r="J390" s="4">
        <f t="shared" si="49"/>
        <v>201075</v>
      </c>
      <c r="K390" s="4">
        <v>16086</v>
      </c>
      <c r="L390" s="4">
        <f t="shared" si="50"/>
        <v>184989</v>
      </c>
      <c r="M390" s="4">
        <v>149370</v>
      </c>
      <c r="N390" s="4">
        <f t="shared" si="51"/>
        <v>35619</v>
      </c>
      <c r="O390" s="16">
        <f t="shared" si="52"/>
        <v>0.19254658385093168</v>
      </c>
      <c r="P390" s="19">
        <v>41730</v>
      </c>
      <c r="Q390" s="5">
        <f t="shared" si="53"/>
        <v>4</v>
      </c>
      <c r="R390" s="3" t="str">
        <f t="shared" si="54"/>
        <v>April</v>
      </c>
      <c r="S390" s="6">
        <f t="shared" si="55"/>
        <v>2014</v>
      </c>
    </row>
    <row r="391" spans="1:19" ht="12.75" x14ac:dyDescent="0.2">
      <c r="A391" s="2" t="s">
        <v>15</v>
      </c>
      <c r="B391" s="2" t="str">
        <f t="shared" si="48"/>
        <v>Government</v>
      </c>
      <c r="C391" s="2" t="s">
        <v>19</v>
      </c>
      <c r="D391" s="2" t="str">
        <f>PROPER(Table1[[#This Row],[Country]])</f>
        <v>Germany</v>
      </c>
      <c r="E391" s="3" t="s">
        <v>31</v>
      </c>
      <c r="F391" s="3" t="s">
        <v>34</v>
      </c>
      <c r="G391" s="13">
        <v>2338</v>
      </c>
      <c r="H391" s="4">
        <v>250</v>
      </c>
      <c r="I391" s="4">
        <v>7</v>
      </c>
      <c r="J391" s="4">
        <f t="shared" si="49"/>
        <v>16366</v>
      </c>
      <c r="K391" s="4">
        <v>1309.28</v>
      </c>
      <c r="L391" s="4">
        <f t="shared" si="50"/>
        <v>15056.72</v>
      </c>
      <c r="M391" s="4">
        <v>11690</v>
      </c>
      <c r="N391" s="4">
        <f t="shared" si="51"/>
        <v>3366.7199999999993</v>
      </c>
      <c r="O391" s="16">
        <f t="shared" si="52"/>
        <v>0.22360248447204967</v>
      </c>
      <c r="P391" s="19">
        <v>41791</v>
      </c>
      <c r="Q391" s="5">
        <f t="shared" si="53"/>
        <v>6</v>
      </c>
      <c r="R391" s="3" t="str">
        <f t="shared" si="54"/>
        <v>June</v>
      </c>
      <c r="S391" s="6">
        <f t="shared" si="55"/>
        <v>2014</v>
      </c>
    </row>
    <row r="392" spans="1:19" ht="12.75" x14ac:dyDescent="0.2">
      <c r="A392" s="2" t="s">
        <v>15</v>
      </c>
      <c r="B392" s="2" t="str">
        <f t="shared" si="48"/>
        <v>Government</v>
      </c>
      <c r="C392" s="2" t="s">
        <v>21</v>
      </c>
      <c r="D392" s="2" t="str">
        <f>PROPER(Table1[[#This Row],[Country]])</f>
        <v>France</v>
      </c>
      <c r="E392" s="3" t="s">
        <v>31</v>
      </c>
      <c r="F392" s="3" t="s">
        <v>34</v>
      </c>
      <c r="G392" s="13">
        <v>381</v>
      </c>
      <c r="H392" s="4">
        <v>250</v>
      </c>
      <c r="I392" s="4">
        <v>350</v>
      </c>
      <c r="J392" s="4">
        <f t="shared" si="49"/>
        <v>133350</v>
      </c>
      <c r="K392" s="4">
        <v>10668</v>
      </c>
      <c r="L392" s="4">
        <f t="shared" si="50"/>
        <v>122682</v>
      </c>
      <c r="M392" s="4">
        <v>99060</v>
      </c>
      <c r="N392" s="4">
        <f t="shared" si="51"/>
        <v>23622</v>
      </c>
      <c r="O392" s="16">
        <f t="shared" si="52"/>
        <v>0.19254658385093168</v>
      </c>
      <c r="P392" s="19">
        <v>41852</v>
      </c>
      <c r="Q392" s="5">
        <f t="shared" si="53"/>
        <v>8</v>
      </c>
      <c r="R392" s="3" t="str">
        <f t="shared" si="54"/>
        <v>August</v>
      </c>
      <c r="S392" s="6">
        <f t="shared" si="55"/>
        <v>2014</v>
      </c>
    </row>
    <row r="393" spans="1:19" ht="12.75" x14ac:dyDescent="0.2">
      <c r="A393" s="2" t="s">
        <v>15</v>
      </c>
      <c r="B393" s="2" t="str">
        <f t="shared" si="48"/>
        <v>Government</v>
      </c>
      <c r="C393" s="2" t="s">
        <v>19</v>
      </c>
      <c r="D393" s="2" t="str">
        <f>PROPER(Table1[[#This Row],[Country]])</f>
        <v>Germany</v>
      </c>
      <c r="E393" s="3" t="s">
        <v>31</v>
      </c>
      <c r="F393" s="3" t="s">
        <v>34</v>
      </c>
      <c r="G393" s="13">
        <v>422</v>
      </c>
      <c r="H393" s="4">
        <v>250</v>
      </c>
      <c r="I393" s="4">
        <v>350</v>
      </c>
      <c r="J393" s="4">
        <f t="shared" si="49"/>
        <v>147700</v>
      </c>
      <c r="K393" s="4">
        <v>11816</v>
      </c>
      <c r="L393" s="4">
        <f t="shared" si="50"/>
        <v>135884</v>
      </c>
      <c r="M393" s="4">
        <v>109720</v>
      </c>
      <c r="N393" s="4">
        <f t="shared" si="51"/>
        <v>26164</v>
      </c>
      <c r="O393" s="16">
        <f t="shared" si="52"/>
        <v>0.19254658385093168</v>
      </c>
      <c r="P393" s="19">
        <v>41852</v>
      </c>
      <c r="Q393" s="5">
        <f t="shared" si="53"/>
        <v>8</v>
      </c>
      <c r="R393" s="3" t="str">
        <f t="shared" si="54"/>
        <v>August</v>
      </c>
      <c r="S393" s="6">
        <f t="shared" si="55"/>
        <v>2014</v>
      </c>
    </row>
    <row r="394" spans="1:19" ht="12.75" x14ac:dyDescent="0.2">
      <c r="A394" s="2" t="s">
        <v>29</v>
      </c>
      <c r="B394" s="2" t="str">
        <f t="shared" si="48"/>
        <v>Small Business</v>
      </c>
      <c r="C394" s="2" t="s">
        <v>16</v>
      </c>
      <c r="D394" s="2" t="str">
        <f>PROPER(Table1[[#This Row],[Country]])</f>
        <v>Canada</v>
      </c>
      <c r="E394" s="3" t="s">
        <v>31</v>
      </c>
      <c r="F394" s="3" t="s">
        <v>34</v>
      </c>
      <c r="G394" s="13">
        <v>2134</v>
      </c>
      <c r="H394" s="4">
        <v>250</v>
      </c>
      <c r="I394" s="4">
        <v>300</v>
      </c>
      <c r="J394" s="4">
        <f t="shared" si="49"/>
        <v>640200</v>
      </c>
      <c r="K394" s="4">
        <v>51216</v>
      </c>
      <c r="L394" s="4">
        <f t="shared" si="50"/>
        <v>588984</v>
      </c>
      <c r="M394" s="4">
        <v>533500</v>
      </c>
      <c r="N394" s="4">
        <f t="shared" si="51"/>
        <v>55484</v>
      </c>
      <c r="O394" s="16">
        <f t="shared" si="52"/>
        <v>9.420289855072464E-2</v>
      </c>
      <c r="P394" s="19">
        <v>41883</v>
      </c>
      <c r="Q394" s="5">
        <f t="shared" si="53"/>
        <v>9</v>
      </c>
      <c r="R394" s="3" t="str">
        <f t="shared" si="54"/>
        <v>September</v>
      </c>
      <c r="S394" s="6">
        <f t="shared" si="55"/>
        <v>2014</v>
      </c>
    </row>
    <row r="395" spans="1:19" ht="12.75" x14ac:dyDescent="0.2">
      <c r="A395" s="2" t="s">
        <v>29</v>
      </c>
      <c r="B395" s="2" t="str">
        <f t="shared" si="48"/>
        <v>Small Business</v>
      </c>
      <c r="C395" s="2" t="s">
        <v>71</v>
      </c>
      <c r="D395" s="2" t="str">
        <f>PROPER(Table1[[#This Row],[Country]])</f>
        <v>Usa</v>
      </c>
      <c r="E395" s="3" t="s">
        <v>31</v>
      </c>
      <c r="F395" s="3" t="s">
        <v>34</v>
      </c>
      <c r="G395" s="13">
        <v>808</v>
      </c>
      <c r="H395" s="4">
        <v>250</v>
      </c>
      <c r="I395" s="4">
        <v>300</v>
      </c>
      <c r="J395" s="4">
        <f t="shared" si="49"/>
        <v>242400</v>
      </c>
      <c r="K395" s="4">
        <v>19392</v>
      </c>
      <c r="L395" s="4">
        <f t="shared" si="50"/>
        <v>223008</v>
      </c>
      <c r="M395" s="4">
        <v>202000</v>
      </c>
      <c r="N395" s="4">
        <f t="shared" si="51"/>
        <v>21008</v>
      </c>
      <c r="O395" s="16">
        <f t="shared" si="52"/>
        <v>9.420289855072464E-2</v>
      </c>
      <c r="P395" s="19">
        <v>41609</v>
      </c>
      <c r="Q395" s="5">
        <f t="shared" si="53"/>
        <v>12</v>
      </c>
      <c r="R395" s="3" t="str">
        <f t="shared" si="54"/>
        <v>December</v>
      </c>
      <c r="S395" s="6">
        <f t="shared" si="55"/>
        <v>2013</v>
      </c>
    </row>
    <row r="396" spans="1:19" ht="12.75" x14ac:dyDescent="0.2">
      <c r="A396" s="2" t="s">
        <v>15</v>
      </c>
      <c r="B396" s="2" t="str">
        <f t="shared" si="48"/>
        <v>Government</v>
      </c>
      <c r="C396" s="2" t="s">
        <v>16</v>
      </c>
      <c r="D396" s="2" t="str">
        <f>PROPER(Table1[[#This Row],[Country]])</f>
        <v>Canada</v>
      </c>
      <c r="E396" s="3" t="s">
        <v>32</v>
      </c>
      <c r="F396" s="3" t="s">
        <v>34</v>
      </c>
      <c r="G396" s="13">
        <v>708</v>
      </c>
      <c r="H396" s="4">
        <v>260</v>
      </c>
      <c r="I396" s="4">
        <v>20</v>
      </c>
      <c r="J396" s="4">
        <f t="shared" si="49"/>
        <v>14160</v>
      </c>
      <c r="K396" s="4">
        <v>1132.8</v>
      </c>
      <c r="L396" s="4">
        <f t="shared" si="50"/>
        <v>13027.2</v>
      </c>
      <c r="M396" s="4">
        <v>7080</v>
      </c>
      <c r="N396" s="4">
        <f t="shared" si="51"/>
        <v>5947.2000000000007</v>
      </c>
      <c r="O396" s="16">
        <f t="shared" si="52"/>
        <v>0.45652173913043481</v>
      </c>
      <c r="P396" s="19">
        <v>41791</v>
      </c>
      <c r="Q396" s="5">
        <f t="shared" si="53"/>
        <v>6</v>
      </c>
      <c r="R396" s="3" t="str">
        <f t="shared" si="54"/>
        <v>June</v>
      </c>
      <c r="S396" s="6">
        <f t="shared" si="55"/>
        <v>2014</v>
      </c>
    </row>
    <row r="397" spans="1:19" ht="12.75" x14ac:dyDescent="0.2">
      <c r="A397" s="2" t="s">
        <v>15</v>
      </c>
      <c r="B397" s="2" t="str">
        <f t="shared" si="48"/>
        <v>Government</v>
      </c>
      <c r="C397" s="2" t="s">
        <v>71</v>
      </c>
      <c r="D397" s="2" t="str">
        <f>PROPER(Table1[[#This Row],[Country]])</f>
        <v>Usa</v>
      </c>
      <c r="E397" s="3" t="s">
        <v>32</v>
      </c>
      <c r="F397" s="3" t="s">
        <v>34</v>
      </c>
      <c r="G397" s="13">
        <v>2907</v>
      </c>
      <c r="H397" s="4">
        <v>260</v>
      </c>
      <c r="I397" s="4">
        <v>7</v>
      </c>
      <c r="J397" s="4">
        <f t="shared" si="49"/>
        <v>20349</v>
      </c>
      <c r="K397" s="4">
        <v>1627.92</v>
      </c>
      <c r="L397" s="4">
        <f t="shared" si="50"/>
        <v>18721.080000000002</v>
      </c>
      <c r="M397" s="4">
        <v>14535</v>
      </c>
      <c r="N397" s="4">
        <f t="shared" si="51"/>
        <v>4186.0800000000017</v>
      </c>
      <c r="O397" s="16">
        <f t="shared" si="52"/>
        <v>0.22360248447204975</v>
      </c>
      <c r="P397" s="19">
        <v>41791</v>
      </c>
      <c r="Q397" s="5">
        <f t="shared" si="53"/>
        <v>6</v>
      </c>
      <c r="R397" s="3" t="str">
        <f t="shared" si="54"/>
        <v>June</v>
      </c>
      <c r="S397" s="6">
        <f t="shared" si="55"/>
        <v>2014</v>
      </c>
    </row>
    <row r="398" spans="1:19" ht="12.75" x14ac:dyDescent="0.2">
      <c r="A398" s="2" t="s">
        <v>15</v>
      </c>
      <c r="B398" s="2" t="str">
        <f t="shared" si="48"/>
        <v>Government</v>
      </c>
      <c r="C398" s="2" t="s">
        <v>19</v>
      </c>
      <c r="D398" s="2" t="str">
        <f>PROPER(Table1[[#This Row],[Country]])</f>
        <v>Germany</v>
      </c>
      <c r="E398" s="3" t="s">
        <v>32</v>
      </c>
      <c r="F398" s="3" t="s">
        <v>34</v>
      </c>
      <c r="G398" s="13">
        <v>1366</v>
      </c>
      <c r="H398" s="4">
        <v>260</v>
      </c>
      <c r="I398" s="4">
        <v>20</v>
      </c>
      <c r="J398" s="4">
        <f t="shared" si="49"/>
        <v>27320</v>
      </c>
      <c r="K398" s="4">
        <v>2185.6</v>
      </c>
      <c r="L398" s="4">
        <f t="shared" si="50"/>
        <v>25134.400000000001</v>
      </c>
      <c r="M398" s="4">
        <v>13660</v>
      </c>
      <c r="N398" s="4">
        <f t="shared" si="51"/>
        <v>11474.400000000001</v>
      </c>
      <c r="O398" s="16">
        <f t="shared" si="52"/>
        <v>0.45652173913043481</v>
      </c>
      <c r="P398" s="19">
        <v>41791</v>
      </c>
      <c r="Q398" s="5">
        <f t="shared" si="53"/>
        <v>6</v>
      </c>
      <c r="R398" s="3" t="str">
        <f t="shared" si="54"/>
        <v>June</v>
      </c>
      <c r="S398" s="6">
        <f t="shared" si="55"/>
        <v>2014</v>
      </c>
    </row>
    <row r="399" spans="1:19" ht="12.75" x14ac:dyDescent="0.2">
      <c r="A399" s="2" t="s">
        <v>29</v>
      </c>
      <c r="B399" s="2" t="str">
        <f t="shared" si="48"/>
        <v>Small Business</v>
      </c>
      <c r="C399" s="2" t="s">
        <v>22</v>
      </c>
      <c r="D399" s="2" t="str">
        <f>PROPER(Table1[[#This Row],[Country]])</f>
        <v>Mexico</v>
      </c>
      <c r="E399" s="3" t="s">
        <v>32</v>
      </c>
      <c r="F399" s="3" t="s">
        <v>34</v>
      </c>
      <c r="G399" s="13">
        <v>2460</v>
      </c>
      <c r="H399" s="4">
        <v>260</v>
      </c>
      <c r="I399" s="4">
        <v>300</v>
      </c>
      <c r="J399" s="4">
        <f t="shared" si="49"/>
        <v>738000</v>
      </c>
      <c r="K399" s="4">
        <v>59040</v>
      </c>
      <c r="L399" s="4">
        <f t="shared" si="50"/>
        <v>678960</v>
      </c>
      <c r="M399" s="4">
        <v>615000</v>
      </c>
      <c r="N399" s="4">
        <f t="shared" si="51"/>
        <v>63960</v>
      </c>
      <c r="O399" s="16">
        <f t="shared" si="52"/>
        <v>9.420289855072464E-2</v>
      </c>
      <c r="P399" s="19">
        <v>41791</v>
      </c>
      <c r="Q399" s="5">
        <f t="shared" si="53"/>
        <v>6</v>
      </c>
      <c r="R399" s="3" t="str">
        <f t="shared" si="54"/>
        <v>June</v>
      </c>
      <c r="S399" s="6">
        <f t="shared" si="55"/>
        <v>2014</v>
      </c>
    </row>
    <row r="400" spans="1:19" ht="12.75" x14ac:dyDescent="0.2">
      <c r="A400" s="2" t="s">
        <v>15</v>
      </c>
      <c r="B400" s="2" t="str">
        <f t="shared" si="48"/>
        <v>Government</v>
      </c>
      <c r="C400" s="2" t="s">
        <v>19</v>
      </c>
      <c r="D400" s="2" t="str">
        <f>PROPER(Table1[[#This Row],[Country]])</f>
        <v>Germany</v>
      </c>
      <c r="E400" s="3" t="s">
        <v>32</v>
      </c>
      <c r="F400" s="3" t="s">
        <v>34</v>
      </c>
      <c r="G400" s="13">
        <v>1520</v>
      </c>
      <c r="H400" s="4">
        <v>260</v>
      </c>
      <c r="I400" s="4">
        <v>20</v>
      </c>
      <c r="J400" s="4">
        <f t="shared" si="49"/>
        <v>30400</v>
      </c>
      <c r="K400" s="4">
        <v>2432</v>
      </c>
      <c r="L400" s="4">
        <f t="shared" si="50"/>
        <v>27968</v>
      </c>
      <c r="M400" s="4">
        <v>15200</v>
      </c>
      <c r="N400" s="4">
        <f t="shared" si="51"/>
        <v>12768</v>
      </c>
      <c r="O400" s="16">
        <f t="shared" si="52"/>
        <v>0.45652173913043476</v>
      </c>
      <c r="P400" s="19">
        <v>41944</v>
      </c>
      <c r="Q400" s="5">
        <f t="shared" si="53"/>
        <v>11</v>
      </c>
      <c r="R400" s="3" t="str">
        <f t="shared" si="54"/>
        <v>November</v>
      </c>
      <c r="S400" s="6">
        <f t="shared" si="55"/>
        <v>2014</v>
      </c>
    </row>
    <row r="401" spans="1:19" ht="12.75" x14ac:dyDescent="0.2">
      <c r="A401" s="2" t="s">
        <v>20</v>
      </c>
      <c r="B401" s="2" t="str">
        <f t="shared" si="48"/>
        <v>Midmarket</v>
      </c>
      <c r="C401" s="2" t="s">
        <v>19</v>
      </c>
      <c r="D401" s="2" t="str">
        <f>PROPER(Table1[[#This Row],[Country]])</f>
        <v>Germany</v>
      </c>
      <c r="E401" s="3" t="s">
        <v>32</v>
      </c>
      <c r="F401" s="3" t="s">
        <v>34</v>
      </c>
      <c r="G401" s="13">
        <v>711</v>
      </c>
      <c r="H401" s="4">
        <v>260</v>
      </c>
      <c r="I401" s="4">
        <v>15</v>
      </c>
      <c r="J401" s="4">
        <f t="shared" si="49"/>
        <v>10665</v>
      </c>
      <c r="K401" s="4">
        <v>853.2</v>
      </c>
      <c r="L401" s="4">
        <f t="shared" si="50"/>
        <v>9811.7999999999993</v>
      </c>
      <c r="M401" s="4">
        <v>7110</v>
      </c>
      <c r="N401" s="4">
        <f t="shared" si="51"/>
        <v>2701.7999999999993</v>
      </c>
      <c r="O401" s="16">
        <f t="shared" si="52"/>
        <v>0.27536231884057966</v>
      </c>
      <c r="P401" s="19">
        <v>41974</v>
      </c>
      <c r="Q401" s="5">
        <f t="shared" si="53"/>
        <v>12</v>
      </c>
      <c r="R401" s="3" t="str">
        <f t="shared" si="54"/>
        <v>December</v>
      </c>
      <c r="S401" s="6">
        <f t="shared" si="55"/>
        <v>2014</v>
      </c>
    </row>
    <row r="402" spans="1:19" ht="12.75" x14ac:dyDescent="0.2">
      <c r="A402" s="2" t="s">
        <v>24</v>
      </c>
      <c r="B402" s="2" t="str">
        <f t="shared" si="48"/>
        <v>Channel Partners</v>
      </c>
      <c r="C402" s="2" t="s">
        <v>22</v>
      </c>
      <c r="D402" s="2" t="str">
        <f>PROPER(Table1[[#This Row],[Country]])</f>
        <v>Mexico</v>
      </c>
      <c r="E402" s="3" t="s">
        <v>32</v>
      </c>
      <c r="F402" s="3" t="s">
        <v>34</v>
      </c>
      <c r="G402" s="13">
        <v>1375</v>
      </c>
      <c r="H402" s="4">
        <v>260</v>
      </c>
      <c r="I402" s="4">
        <v>12</v>
      </c>
      <c r="J402" s="4">
        <f t="shared" si="49"/>
        <v>16500</v>
      </c>
      <c r="K402" s="4">
        <v>1320</v>
      </c>
      <c r="L402" s="4">
        <f t="shared" si="50"/>
        <v>15180</v>
      </c>
      <c r="M402" s="4">
        <v>4125</v>
      </c>
      <c r="N402" s="4">
        <f t="shared" si="51"/>
        <v>11055</v>
      </c>
      <c r="O402" s="16">
        <f t="shared" si="52"/>
        <v>0.72826086956521741</v>
      </c>
      <c r="P402" s="19">
        <v>41609</v>
      </c>
      <c r="Q402" s="5">
        <f t="shared" si="53"/>
        <v>12</v>
      </c>
      <c r="R402" s="3" t="str">
        <f t="shared" si="54"/>
        <v>December</v>
      </c>
      <c r="S402" s="6">
        <f t="shared" si="55"/>
        <v>2013</v>
      </c>
    </row>
    <row r="403" spans="1:19" ht="12.75" x14ac:dyDescent="0.2">
      <c r="A403" s="2" t="s">
        <v>29</v>
      </c>
      <c r="B403" s="2" t="str">
        <f t="shared" si="48"/>
        <v>Small Business</v>
      </c>
      <c r="C403" s="2" t="s">
        <v>22</v>
      </c>
      <c r="D403" s="2" t="str">
        <f>PROPER(Table1[[#This Row],[Country]])</f>
        <v>Mexico</v>
      </c>
      <c r="E403" s="3" t="s">
        <v>32</v>
      </c>
      <c r="F403" s="3" t="s">
        <v>34</v>
      </c>
      <c r="G403" s="13">
        <v>635</v>
      </c>
      <c r="H403" s="4">
        <v>260</v>
      </c>
      <c r="I403" s="4">
        <v>300</v>
      </c>
      <c r="J403" s="4">
        <f t="shared" si="49"/>
        <v>190500</v>
      </c>
      <c r="K403" s="4">
        <v>15240</v>
      </c>
      <c r="L403" s="4">
        <f t="shared" si="50"/>
        <v>175260</v>
      </c>
      <c r="M403" s="4">
        <v>158750</v>
      </c>
      <c r="N403" s="4">
        <f t="shared" si="51"/>
        <v>16510</v>
      </c>
      <c r="O403" s="16">
        <f t="shared" si="52"/>
        <v>9.420289855072464E-2</v>
      </c>
      <c r="P403" s="19">
        <v>41974</v>
      </c>
      <c r="Q403" s="5">
        <f t="shared" si="53"/>
        <v>12</v>
      </c>
      <c r="R403" s="3" t="str">
        <f t="shared" si="54"/>
        <v>December</v>
      </c>
      <c r="S403" s="6">
        <f t="shared" si="55"/>
        <v>2014</v>
      </c>
    </row>
    <row r="404" spans="1:19" ht="12.75" x14ac:dyDescent="0.2">
      <c r="A404" s="2" t="s">
        <v>15</v>
      </c>
      <c r="B404" s="2" t="str">
        <f t="shared" si="48"/>
        <v>Government</v>
      </c>
      <c r="C404" s="2" t="s">
        <v>71</v>
      </c>
      <c r="D404" s="2" t="str">
        <f>PROPER(Table1[[#This Row],[Country]])</f>
        <v>Usa</v>
      </c>
      <c r="E404" s="3" t="s">
        <v>31</v>
      </c>
      <c r="F404" s="3" t="s">
        <v>34</v>
      </c>
      <c r="G404" s="13">
        <v>436.5</v>
      </c>
      <c r="H404" s="4">
        <v>250</v>
      </c>
      <c r="I404" s="4">
        <v>20</v>
      </c>
      <c r="J404" s="4">
        <f t="shared" si="49"/>
        <v>8730</v>
      </c>
      <c r="K404" s="4">
        <v>698.40000000000009</v>
      </c>
      <c r="L404" s="4">
        <f t="shared" si="50"/>
        <v>8031.6</v>
      </c>
      <c r="M404" s="4">
        <v>4365</v>
      </c>
      <c r="N404" s="4">
        <f t="shared" si="51"/>
        <v>3666.6000000000004</v>
      </c>
      <c r="O404" s="16">
        <f t="shared" si="52"/>
        <v>0.45652173913043481</v>
      </c>
      <c r="P404" s="19">
        <v>41821</v>
      </c>
      <c r="Q404" s="5">
        <f t="shared" si="53"/>
        <v>7</v>
      </c>
      <c r="R404" s="3" t="str">
        <f t="shared" si="54"/>
        <v>July</v>
      </c>
      <c r="S404" s="6">
        <f t="shared" si="55"/>
        <v>2014</v>
      </c>
    </row>
    <row r="405" spans="1:19" ht="12.75" x14ac:dyDescent="0.2">
      <c r="A405" s="2" t="s">
        <v>29</v>
      </c>
      <c r="B405" s="2" t="str">
        <f t="shared" si="48"/>
        <v>Small Business</v>
      </c>
      <c r="C405" s="2" t="s">
        <v>16</v>
      </c>
      <c r="D405" s="2" t="str">
        <f>PROPER(Table1[[#This Row],[Country]])</f>
        <v>Canada</v>
      </c>
      <c r="E405" s="3" t="s">
        <v>17</v>
      </c>
      <c r="F405" s="3" t="s">
        <v>34</v>
      </c>
      <c r="G405" s="13">
        <v>1094</v>
      </c>
      <c r="H405" s="4">
        <v>3</v>
      </c>
      <c r="I405" s="4">
        <v>300</v>
      </c>
      <c r="J405" s="4">
        <f t="shared" si="49"/>
        <v>328200</v>
      </c>
      <c r="K405" s="4">
        <v>29538</v>
      </c>
      <c r="L405" s="4">
        <f t="shared" si="50"/>
        <v>298662</v>
      </c>
      <c r="M405" s="4">
        <v>273500</v>
      </c>
      <c r="N405" s="4">
        <f t="shared" si="51"/>
        <v>25162</v>
      </c>
      <c r="O405" s="16">
        <f t="shared" si="52"/>
        <v>8.4249084249084255E-2</v>
      </c>
      <c r="P405" s="19">
        <v>41791</v>
      </c>
      <c r="Q405" s="5">
        <f t="shared" si="53"/>
        <v>6</v>
      </c>
      <c r="R405" s="3" t="str">
        <f t="shared" si="54"/>
        <v>June</v>
      </c>
      <c r="S405" s="6">
        <f t="shared" si="55"/>
        <v>2014</v>
      </c>
    </row>
    <row r="406" spans="1:19" ht="12.75" x14ac:dyDescent="0.2">
      <c r="A406" s="2" t="s">
        <v>24</v>
      </c>
      <c r="B406" s="2" t="str">
        <f t="shared" si="48"/>
        <v>Channel Partners</v>
      </c>
      <c r="C406" s="2" t="s">
        <v>22</v>
      </c>
      <c r="D406" s="2" t="str">
        <f>PROPER(Table1[[#This Row],[Country]])</f>
        <v>Mexico</v>
      </c>
      <c r="E406" s="3" t="s">
        <v>17</v>
      </c>
      <c r="F406" s="3" t="s">
        <v>34</v>
      </c>
      <c r="G406" s="13">
        <v>367</v>
      </c>
      <c r="H406" s="4">
        <v>3</v>
      </c>
      <c r="I406" s="4">
        <v>12</v>
      </c>
      <c r="J406" s="4">
        <f t="shared" si="49"/>
        <v>4404</v>
      </c>
      <c r="K406" s="4">
        <v>396.36</v>
      </c>
      <c r="L406" s="4">
        <f t="shared" si="50"/>
        <v>4007.64</v>
      </c>
      <c r="M406" s="4">
        <v>1101</v>
      </c>
      <c r="N406" s="4">
        <f t="shared" si="51"/>
        <v>2906.64</v>
      </c>
      <c r="O406" s="16">
        <f t="shared" si="52"/>
        <v>0.72527472527472525</v>
      </c>
      <c r="P406" s="19">
        <v>41548</v>
      </c>
      <c r="Q406" s="5">
        <f t="shared" si="53"/>
        <v>10</v>
      </c>
      <c r="R406" s="3" t="str">
        <f t="shared" si="54"/>
        <v>October</v>
      </c>
      <c r="S406" s="6">
        <f t="shared" si="55"/>
        <v>2013</v>
      </c>
    </row>
    <row r="407" spans="1:19" ht="12.75" x14ac:dyDescent="0.2">
      <c r="A407" s="2" t="s">
        <v>29</v>
      </c>
      <c r="B407" s="2" t="str">
        <f t="shared" si="48"/>
        <v>Small Business</v>
      </c>
      <c r="C407" s="2" t="s">
        <v>16</v>
      </c>
      <c r="D407" s="2" t="str">
        <f>PROPER(Table1[[#This Row],[Country]])</f>
        <v>Canada</v>
      </c>
      <c r="E407" s="3" t="s">
        <v>23</v>
      </c>
      <c r="F407" s="3" t="s">
        <v>34</v>
      </c>
      <c r="G407" s="13">
        <v>3802.5</v>
      </c>
      <c r="H407" s="4">
        <v>5</v>
      </c>
      <c r="I407" s="4">
        <v>300</v>
      </c>
      <c r="J407" s="4">
        <f t="shared" si="49"/>
        <v>1140750</v>
      </c>
      <c r="K407" s="4">
        <v>102667.5</v>
      </c>
      <c r="L407" s="4">
        <f t="shared" si="50"/>
        <v>1038082.5</v>
      </c>
      <c r="M407" s="4">
        <v>950625</v>
      </c>
      <c r="N407" s="4">
        <f t="shared" si="51"/>
        <v>87457.5</v>
      </c>
      <c r="O407" s="16">
        <f t="shared" si="52"/>
        <v>8.4249084249084255E-2</v>
      </c>
      <c r="P407" s="19">
        <v>41730</v>
      </c>
      <c r="Q407" s="5">
        <f t="shared" si="53"/>
        <v>4</v>
      </c>
      <c r="R407" s="3" t="str">
        <f t="shared" si="54"/>
        <v>April</v>
      </c>
      <c r="S407" s="6">
        <f t="shared" si="55"/>
        <v>2014</v>
      </c>
    </row>
    <row r="408" spans="1:19" ht="12.75" x14ac:dyDescent="0.2">
      <c r="A408" s="2" t="s">
        <v>15</v>
      </c>
      <c r="B408" s="2" t="str">
        <f t="shared" si="48"/>
        <v>Government</v>
      </c>
      <c r="C408" s="2" t="s">
        <v>21</v>
      </c>
      <c r="D408" s="2" t="str">
        <f>PROPER(Table1[[#This Row],[Country]])</f>
        <v>France</v>
      </c>
      <c r="E408" s="3" t="s">
        <v>23</v>
      </c>
      <c r="F408" s="3" t="s">
        <v>34</v>
      </c>
      <c r="G408" s="13">
        <v>1666</v>
      </c>
      <c r="H408" s="4">
        <v>5</v>
      </c>
      <c r="I408" s="4">
        <v>350</v>
      </c>
      <c r="J408" s="4">
        <f t="shared" si="49"/>
        <v>583100</v>
      </c>
      <c r="K408" s="4">
        <v>52479</v>
      </c>
      <c r="L408" s="4">
        <f t="shared" si="50"/>
        <v>530621</v>
      </c>
      <c r="M408" s="4">
        <v>433160</v>
      </c>
      <c r="N408" s="4">
        <f t="shared" si="51"/>
        <v>97461</v>
      </c>
      <c r="O408" s="16">
        <f t="shared" si="52"/>
        <v>0.18367346938775511</v>
      </c>
      <c r="P408" s="19">
        <v>41760</v>
      </c>
      <c r="Q408" s="5">
        <f t="shared" si="53"/>
        <v>5</v>
      </c>
      <c r="R408" s="3" t="str">
        <f t="shared" si="54"/>
        <v>May</v>
      </c>
      <c r="S408" s="6">
        <f t="shared" si="55"/>
        <v>2014</v>
      </c>
    </row>
    <row r="409" spans="1:19" ht="12.75" x14ac:dyDescent="0.2">
      <c r="A409" s="2" t="s">
        <v>29</v>
      </c>
      <c r="B409" s="2" t="str">
        <f t="shared" si="48"/>
        <v>Small Business</v>
      </c>
      <c r="C409" s="2" t="s">
        <v>21</v>
      </c>
      <c r="D409" s="2" t="str">
        <f>PROPER(Table1[[#This Row],[Country]])</f>
        <v>France</v>
      </c>
      <c r="E409" s="3" t="s">
        <v>23</v>
      </c>
      <c r="F409" s="3" t="s">
        <v>34</v>
      </c>
      <c r="G409" s="13">
        <v>322</v>
      </c>
      <c r="H409" s="4">
        <v>5</v>
      </c>
      <c r="I409" s="4">
        <v>300</v>
      </c>
      <c r="J409" s="4">
        <f t="shared" si="49"/>
        <v>96600</v>
      </c>
      <c r="K409" s="4">
        <v>8694</v>
      </c>
      <c r="L409" s="4">
        <f t="shared" si="50"/>
        <v>87906</v>
      </c>
      <c r="M409" s="4">
        <v>80500</v>
      </c>
      <c r="N409" s="4">
        <f t="shared" si="51"/>
        <v>7406</v>
      </c>
      <c r="O409" s="16">
        <f t="shared" si="52"/>
        <v>8.4249084249084255E-2</v>
      </c>
      <c r="P409" s="19">
        <v>41518</v>
      </c>
      <c r="Q409" s="5">
        <f t="shared" si="53"/>
        <v>9</v>
      </c>
      <c r="R409" s="3" t="str">
        <f t="shared" si="54"/>
        <v>September</v>
      </c>
      <c r="S409" s="6">
        <f t="shared" si="55"/>
        <v>2013</v>
      </c>
    </row>
    <row r="410" spans="1:19" ht="12.75" x14ac:dyDescent="0.2">
      <c r="A410" s="2" t="s">
        <v>24</v>
      </c>
      <c r="B410" s="2" t="str">
        <f t="shared" si="48"/>
        <v>Channel Partners</v>
      </c>
      <c r="C410" s="2" t="s">
        <v>16</v>
      </c>
      <c r="D410" s="2" t="str">
        <f>PROPER(Table1[[#This Row],[Country]])</f>
        <v>Canada</v>
      </c>
      <c r="E410" s="3" t="s">
        <v>23</v>
      </c>
      <c r="F410" s="3" t="s">
        <v>34</v>
      </c>
      <c r="G410" s="13">
        <v>2321</v>
      </c>
      <c r="H410" s="4">
        <v>5</v>
      </c>
      <c r="I410" s="4">
        <v>12</v>
      </c>
      <c r="J410" s="4">
        <f t="shared" si="49"/>
        <v>27852</v>
      </c>
      <c r="K410" s="4">
        <v>2506.6799999999998</v>
      </c>
      <c r="L410" s="4">
        <f t="shared" si="50"/>
        <v>25345.32</v>
      </c>
      <c r="M410" s="4">
        <v>6963</v>
      </c>
      <c r="N410" s="4">
        <f t="shared" si="51"/>
        <v>18382.32</v>
      </c>
      <c r="O410" s="16">
        <f t="shared" si="52"/>
        <v>0.72527472527472525</v>
      </c>
      <c r="P410" s="19">
        <v>41944</v>
      </c>
      <c r="Q410" s="5">
        <f t="shared" si="53"/>
        <v>11</v>
      </c>
      <c r="R410" s="3" t="str">
        <f t="shared" si="54"/>
        <v>November</v>
      </c>
      <c r="S410" s="6">
        <f t="shared" si="55"/>
        <v>2014</v>
      </c>
    </row>
    <row r="411" spans="1:19" ht="12.75" x14ac:dyDescent="0.2">
      <c r="A411" s="2" t="s">
        <v>25</v>
      </c>
      <c r="B411" s="2" t="str">
        <f t="shared" si="48"/>
        <v>Enterprise</v>
      </c>
      <c r="C411" s="2" t="s">
        <v>21</v>
      </c>
      <c r="D411" s="2" t="str">
        <f>PROPER(Table1[[#This Row],[Country]])</f>
        <v>France</v>
      </c>
      <c r="E411" s="3" t="s">
        <v>23</v>
      </c>
      <c r="F411" s="3" t="s">
        <v>34</v>
      </c>
      <c r="G411" s="13">
        <v>1857</v>
      </c>
      <c r="H411" s="4">
        <v>5</v>
      </c>
      <c r="I411" s="4">
        <v>125</v>
      </c>
      <c r="J411" s="4">
        <f t="shared" si="49"/>
        <v>232125</v>
      </c>
      <c r="K411" s="4">
        <v>20891.25</v>
      </c>
      <c r="L411" s="4">
        <f t="shared" si="50"/>
        <v>211233.75</v>
      </c>
      <c r="M411" s="4">
        <v>222840</v>
      </c>
      <c r="N411" s="4">
        <f t="shared" si="51"/>
        <v>-11606.25</v>
      </c>
      <c r="O411" s="16">
        <f t="shared" si="52"/>
        <v>-5.4945054945054944E-2</v>
      </c>
      <c r="P411" s="19">
        <v>41579</v>
      </c>
      <c r="Q411" s="5">
        <f t="shared" si="53"/>
        <v>11</v>
      </c>
      <c r="R411" s="3" t="str">
        <f t="shared" si="54"/>
        <v>November</v>
      </c>
      <c r="S411" s="6">
        <f t="shared" si="55"/>
        <v>2013</v>
      </c>
    </row>
    <row r="412" spans="1:19" ht="12.75" x14ac:dyDescent="0.2">
      <c r="A412" s="2" t="s">
        <v>15</v>
      </c>
      <c r="B412" s="2" t="str">
        <f t="shared" si="48"/>
        <v>Government</v>
      </c>
      <c r="C412" s="2" t="s">
        <v>16</v>
      </c>
      <c r="D412" s="2" t="str">
        <f>PROPER(Table1[[#This Row],[Country]])</f>
        <v>Canada</v>
      </c>
      <c r="E412" s="3" t="s">
        <v>23</v>
      </c>
      <c r="F412" s="3" t="s">
        <v>34</v>
      </c>
      <c r="G412" s="13">
        <v>1611</v>
      </c>
      <c r="H412" s="4">
        <v>5</v>
      </c>
      <c r="I412" s="4">
        <v>7</v>
      </c>
      <c r="J412" s="4">
        <f t="shared" si="49"/>
        <v>11277</v>
      </c>
      <c r="K412" s="4">
        <v>1014.93</v>
      </c>
      <c r="L412" s="4">
        <f t="shared" si="50"/>
        <v>10262.07</v>
      </c>
      <c r="M412" s="4">
        <v>8055</v>
      </c>
      <c r="N412" s="4">
        <f t="shared" si="51"/>
        <v>2207.0699999999997</v>
      </c>
      <c r="O412" s="16">
        <f t="shared" si="52"/>
        <v>0.21507064364207218</v>
      </c>
      <c r="P412" s="19">
        <v>41609</v>
      </c>
      <c r="Q412" s="5">
        <f t="shared" si="53"/>
        <v>12</v>
      </c>
      <c r="R412" s="3" t="str">
        <f t="shared" si="54"/>
        <v>December</v>
      </c>
      <c r="S412" s="6">
        <f t="shared" si="55"/>
        <v>2013</v>
      </c>
    </row>
    <row r="413" spans="1:19" ht="12.75" x14ac:dyDescent="0.2">
      <c r="A413" s="2" t="s">
        <v>25</v>
      </c>
      <c r="B413" s="2" t="str">
        <f t="shared" si="48"/>
        <v>Enterprise</v>
      </c>
      <c r="C413" s="2" t="s">
        <v>71</v>
      </c>
      <c r="D413" s="2" t="str">
        <f>PROPER(Table1[[#This Row],[Country]])</f>
        <v>Usa</v>
      </c>
      <c r="E413" s="3" t="s">
        <v>23</v>
      </c>
      <c r="F413" s="3" t="s">
        <v>34</v>
      </c>
      <c r="G413" s="13">
        <v>2797</v>
      </c>
      <c r="H413" s="4">
        <v>5</v>
      </c>
      <c r="I413" s="4">
        <v>125</v>
      </c>
      <c r="J413" s="4">
        <f t="shared" si="49"/>
        <v>349625</v>
      </c>
      <c r="K413" s="4">
        <v>31466.25</v>
      </c>
      <c r="L413" s="4">
        <f t="shared" si="50"/>
        <v>318158.75</v>
      </c>
      <c r="M413" s="4">
        <v>335640</v>
      </c>
      <c r="N413" s="4">
        <f t="shared" si="51"/>
        <v>-17481.25</v>
      </c>
      <c r="O413" s="16">
        <f t="shared" si="52"/>
        <v>-5.4945054945054944E-2</v>
      </c>
      <c r="P413" s="19">
        <v>41974</v>
      </c>
      <c r="Q413" s="5">
        <f t="shared" si="53"/>
        <v>12</v>
      </c>
      <c r="R413" s="3" t="str">
        <f t="shared" si="54"/>
        <v>December</v>
      </c>
      <c r="S413" s="6">
        <f t="shared" si="55"/>
        <v>2014</v>
      </c>
    </row>
    <row r="414" spans="1:19" ht="12.75" x14ac:dyDescent="0.2">
      <c r="A414" s="2" t="s">
        <v>29</v>
      </c>
      <c r="B414" s="2" t="str">
        <f t="shared" si="48"/>
        <v>Small Business</v>
      </c>
      <c r="C414" s="2" t="s">
        <v>19</v>
      </c>
      <c r="D414" s="2" t="str">
        <f>PROPER(Table1[[#This Row],[Country]])</f>
        <v>Germany</v>
      </c>
      <c r="E414" s="3" t="s">
        <v>23</v>
      </c>
      <c r="F414" s="3" t="s">
        <v>34</v>
      </c>
      <c r="G414" s="13">
        <v>334</v>
      </c>
      <c r="H414" s="4">
        <v>5</v>
      </c>
      <c r="I414" s="4">
        <v>300</v>
      </c>
      <c r="J414" s="4">
        <f t="shared" si="49"/>
        <v>100200</v>
      </c>
      <c r="K414" s="4">
        <v>9018</v>
      </c>
      <c r="L414" s="4">
        <f t="shared" si="50"/>
        <v>91182</v>
      </c>
      <c r="M414" s="4">
        <v>83500</v>
      </c>
      <c r="N414" s="4">
        <f t="shared" si="51"/>
        <v>7682</v>
      </c>
      <c r="O414" s="16">
        <f t="shared" si="52"/>
        <v>8.4249084249084255E-2</v>
      </c>
      <c r="P414" s="19">
        <v>41609</v>
      </c>
      <c r="Q414" s="5">
        <f t="shared" si="53"/>
        <v>12</v>
      </c>
      <c r="R414" s="3" t="str">
        <f t="shared" si="54"/>
        <v>December</v>
      </c>
      <c r="S414" s="6">
        <f t="shared" si="55"/>
        <v>2013</v>
      </c>
    </row>
    <row r="415" spans="1:19" ht="12.75" x14ac:dyDescent="0.2">
      <c r="A415" s="2" t="s">
        <v>29</v>
      </c>
      <c r="B415" s="2" t="str">
        <f t="shared" si="48"/>
        <v>Small Business</v>
      </c>
      <c r="C415" s="2" t="s">
        <v>22</v>
      </c>
      <c r="D415" s="2" t="str">
        <f>PROPER(Table1[[#This Row],[Country]])</f>
        <v>Mexico</v>
      </c>
      <c r="E415" s="3" t="s">
        <v>28</v>
      </c>
      <c r="F415" s="3" t="s">
        <v>34</v>
      </c>
      <c r="G415" s="13">
        <v>2565</v>
      </c>
      <c r="H415" s="4">
        <v>10</v>
      </c>
      <c r="I415" s="4">
        <v>300</v>
      </c>
      <c r="J415" s="4">
        <f t="shared" si="49"/>
        <v>769500</v>
      </c>
      <c r="K415" s="4">
        <v>69255</v>
      </c>
      <c r="L415" s="4">
        <f t="shared" si="50"/>
        <v>700245</v>
      </c>
      <c r="M415" s="4">
        <v>641250</v>
      </c>
      <c r="N415" s="4">
        <f t="shared" si="51"/>
        <v>58995</v>
      </c>
      <c r="O415" s="16">
        <f t="shared" si="52"/>
        <v>8.4249084249084255E-2</v>
      </c>
      <c r="P415" s="19">
        <v>41640</v>
      </c>
      <c r="Q415" s="5">
        <f t="shared" si="53"/>
        <v>1</v>
      </c>
      <c r="R415" s="3" t="str">
        <f t="shared" si="54"/>
        <v>January</v>
      </c>
      <c r="S415" s="6">
        <f t="shared" si="55"/>
        <v>2014</v>
      </c>
    </row>
    <row r="416" spans="1:19" ht="12.75" x14ac:dyDescent="0.2">
      <c r="A416" s="2" t="s">
        <v>15</v>
      </c>
      <c r="B416" s="2" t="str">
        <f t="shared" si="48"/>
        <v>Government</v>
      </c>
      <c r="C416" s="2" t="s">
        <v>22</v>
      </c>
      <c r="D416" s="2" t="str">
        <f>PROPER(Table1[[#This Row],[Country]])</f>
        <v>Mexico</v>
      </c>
      <c r="E416" s="3" t="s">
        <v>28</v>
      </c>
      <c r="F416" s="3" t="s">
        <v>34</v>
      </c>
      <c r="G416" s="13">
        <v>2417</v>
      </c>
      <c r="H416" s="4">
        <v>10</v>
      </c>
      <c r="I416" s="4">
        <v>350</v>
      </c>
      <c r="J416" s="4">
        <f t="shared" si="49"/>
        <v>845950</v>
      </c>
      <c r="K416" s="4">
        <v>76135.5</v>
      </c>
      <c r="L416" s="4">
        <f t="shared" si="50"/>
        <v>769814.5</v>
      </c>
      <c r="M416" s="4">
        <v>628420</v>
      </c>
      <c r="N416" s="4">
        <f t="shared" si="51"/>
        <v>141394.5</v>
      </c>
      <c r="O416" s="16">
        <f t="shared" si="52"/>
        <v>0.18367346938775511</v>
      </c>
      <c r="P416" s="19">
        <v>41640</v>
      </c>
      <c r="Q416" s="5">
        <f t="shared" si="53"/>
        <v>1</v>
      </c>
      <c r="R416" s="3" t="str">
        <f t="shared" si="54"/>
        <v>January</v>
      </c>
      <c r="S416" s="6">
        <f t="shared" si="55"/>
        <v>2014</v>
      </c>
    </row>
    <row r="417" spans="1:19" ht="12.75" x14ac:dyDescent="0.2">
      <c r="A417" s="2" t="s">
        <v>20</v>
      </c>
      <c r="B417" s="2" t="str">
        <f t="shared" si="48"/>
        <v>Midmarket</v>
      </c>
      <c r="C417" s="2" t="s">
        <v>71</v>
      </c>
      <c r="D417" s="2" t="str">
        <f>PROPER(Table1[[#This Row],[Country]])</f>
        <v>Usa</v>
      </c>
      <c r="E417" s="3" t="s">
        <v>28</v>
      </c>
      <c r="F417" s="3" t="s">
        <v>34</v>
      </c>
      <c r="G417" s="13">
        <v>3675</v>
      </c>
      <c r="H417" s="4">
        <v>10</v>
      </c>
      <c r="I417" s="4">
        <v>15</v>
      </c>
      <c r="J417" s="4">
        <f t="shared" si="49"/>
        <v>55125</v>
      </c>
      <c r="K417" s="4">
        <v>4961.25</v>
      </c>
      <c r="L417" s="4">
        <f t="shared" si="50"/>
        <v>50163.75</v>
      </c>
      <c r="M417" s="4">
        <v>36750</v>
      </c>
      <c r="N417" s="4">
        <f t="shared" si="51"/>
        <v>13413.75</v>
      </c>
      <c r="O417" s="16">
        <f t="shared" si="52"/>
        <v>0.26739926739926739</v>
      </c>
      <c r="P417" s="19">
        <v>41730</v>
      </c>
      <c r="Q417" s="5">
        <f t="shared" si="53"/>
        <v>4</v>
      </c>
      <c r="R417" s="3" t="str">
        <f t="shared" si="54"/>
        <v>April</v>
      </c>
      <c r="S417" s="6">
        <f t="shared" si="55"/>
        <v>2014</v>
      </c>
    </row>
    <row r="418" spans="1:19" ht="12.75" x14ac:dyDescent="0.2">
      <c r="A418" s="2" t="s">
        <v>29</v>
      </c>
      <c r="B418" s="2" t="str">
        <f t="shared" si="48"/>
        <v>Small Business</v>
      </c>
      <c r="C418" s="2" t="s">
        <v>16</v>
      </c>
      <c r="D418" s="2" t="str">
        <f>PROPER(Table1[[#This Row],[Country]])</f>
        <v>Canada</v>
      </c>
      <c r="E418" s="3" t="s">
        <v>28</v>
      </c>
      <c r="F418" s="3" t="s">
        <v>34</v>
      </c>
      <c r="G418" s="13">
        <v>1094</v>
      </c>
      <c r="H418" s="4">
        <v>10</v>
      </c>
      <c r="I418" s="4">
        <v>300</v>
      </c>
      <c r="J418" s="4">
        <f t="shared" si="49"/>
        <v>328200</v>
      </c>
      <c r="K418" s="4">
        <v>29538</v>
      </c>
      <c r="L418" s="4">
        <f t="shared" si="50"/>
        <v>298662</v>
      </c>
      <c r="M418" s="4">
        <v>273500</v>
      </c>
      <c r="N418" s="4">
        <f t="shared" si="51"/>
        <v>25162</v>
      </c>
      <c r="O418" s="16">
        <f t="shared" si="52"/>
        <v>8.4249084249084255E-2</v>
      </c>
      <c r="P418" s="19">
        <v>41791</v>
      </c>
      <c r="Q418" s="5">
        <f t="shared" si="53"/>
        <v>6</v>
      </c>
      <c r="R418" s="3" t="str">
        <f t="shared" si="54"/>
        <v>June</v>
      </c>
      <c r="S418" s="6">
        <f t="shared" si="55"/>
        <v>2014</v>
      </c>
    </row>
    <row r="419" spans="1:19" ht="12.75" x14ac:dyDescent="0.2">
      <c r="A419" s="2" t="s">
        <v>20</v>
      </c>
      <c r="B419" s="2" t="str">
        <f t="shared" si="48"/>
        <v>Midmarket</v>
      </c>
      <c r="C419" s="2" t="s">
        <v>21</v>
      </c>
      <c r="D419" s="2" t="str">
        <f>PROPER(Table1[[#This Row],[Country]])</f>
        <v>France</v>
      </c>
      <c r="E419" s="3" t="s">
        <v>28</v>
      </c>
      <c r="F419" s="3" t="s">
        <v>34</v>
      </c>
      <c r="G419" s="13">
        <v>1227</v>
      </c>
      <c r="H419" s="4">
        <v>10</v>
      </c>
      <c r="I419" s="4">
        <v>15</v>
      </c>
      <c r="J419" s="4">
        <f t="shared" si="49"/>
        <v>18405</v>
      </c>
      <c r="K419" s="4">
        <v>1656.45</v>
      </c>
      <c r="L419" s="4">
        <f t="shared" si="50"/>
        <v>16748.55</v>
      </c>
      <c r="M419" s="4">
        <v>12270</v>
      </c>
      <c r="N419" s="4">
        <f t="shared" si="51"/>
        <v>4478.5499999999993</v>
      </c>
      <c r="O419" s="16">
        <f t="shared" si="52"/>
        <v>0.26739926739926739</v>
      </c>
      <c r="P419" s="19">
        <v>41913</v>
      </c>
      <c r="Q419" s="5">
        <f t="shared" si="53"/>
        <v>10</v>
      </c>
      <c r="R419" s="3" t="str">
        <f t="shared" si="54"/>
        <v>October</v>
      </c>
      <c r="S419" s="6">
        <f t="shared" si="55"/>
        <v>2014</v>
      </c>
    </row>
    <row r="420" spans="1:19" ht="12.75" x14ac:dyDescent="0.2">
      <c r="A420" s="2" t="s">
        <v>24</v>
      </c>
      <c r="B420" s="2" t="str">
        <f t="shared" si="48"/>
        <v>Channel Partners</v>
      </c>
      <c r="C420" s="2" t="s">
        <v>22</v>
      </c>
      <c r="D420" s="2" t="str">
        <f>PROPER(Table1[[#This Row],[Country]])</f>
        <v>Mexico</v>
      </c>
      <c r="E420" s="3" t="s">
        <v>28</v>
      </c>
      <c r="F420" s="3" t="s">
        <v>34</v>
      </c>
      <c r="G420" s="13">
        <v>367</v>
      </c>
      <c r="H420" s="4">
        <v>10</v>
      </c>
      <c r="I420" s="4">
        <v>12</v>
      </c>
      <c r="J420" s="4">
        <f t="shared" si="49"/>
        <v>4404</v>
      </c>
      <c r="K420" s="4">
        <v>396.36</v>
      </c>
      <c r="L420" s="4">
        <f t="shared" si="50"/>
        <v>4007.64</v>
      </c>
      <c r="M420" s="4">
        <v>1101</v>
      </c>
      <c r="N420" s="4">
        <f t="shared" si="51"/>
        <v>2906.64</v>
      </c>
      <c r="O420" s="16">
        <f t="shared" si="52"/>
        <v>0.72527472527472525</v>
      </c>
      <c r="P420" s="19">
        <v>41548</v>
      </c>
      <c r="Q420" s="5">
        <f t="shared" si="53"/>
        <v>10</v>
      </c>
      <c r="R420" s="3" t="str">
        <f t="shared" si="54"/>
        <v>October</v>
      </c>
      <c r="S420" s="6">
        <f t="shared" si="55"/>
        <v>2013</v>
      </c>
    </row>
    <row r="421" spans="1:19" ht="12.75" x14ac:dyDescent="0.2">
      <c r="A421" s="2" t="s">
        <v>29</v>
      </c>
      <c r="B421" s="2" t="str">
        <f t="shared" si="48"/>
        <v>Small Business</v>
      </c>
      <c r="C421" s="2" t="s">
        <v>21</v>
      </c>
      <c r="D421" s="2" t="str">
        <f>PROPER(Table1[[#This Row],[Country]])</f>
        <v>France</v>
      </c>
      <c r="E421" s="3" t="s">
        <v>28</v>
      </c>
      <c r="F421" s="3" t="s">
        <v>34</v>
      </c>
      <c r="G421" s="13">
        <v>1324</v>
      </c>
      <c r="H421" s="4">
        <v>10</v>
      </c>
      <c r="I421" s="4">
        <v>300</v>
      </c>
      <c r="J421" s="4">
        <f t="shared" si="49"/>
        <v>397200</v>
      </c>
      <c r="K421" s="4">
        <v>35748</v>
      </c>
      <c r="L421" s="4">
        <f t="shared" si="50"/>
        <v>361452</v>
      </c>
      <c r="M421" s="4">
        <v>331000</v>
      </c>
      <c r="N421" s="4">
        <f t="shared" si="51"/>
        <v>30452</v>
      </c>
      <c r="O421" s="16">
        <f t="shared" si="52"/>
        <v>8.4249084249084255E-2</v>
      </c>
      <c r="P421" s="19">
        <v>41944</v>
      </c>
      <c r="Q421" s="5">
        <f t="shared" si="53"/>
        <v>11</v>
      </c>
      <c r="R421" s="3" t="str">
        <f t="shared" si="54"/>
        <v>November</v>
      </c>
      <c r="S421" s="6">
        <f t="shared" si="55"/>
        <v>2014</v>
      </c>
    </row>
    <row r="422" spans="1:19" ht="12.75" x14ac:dyDescent="0.2">
      <c r="A422" s="2" t="s">
        <v>24</v>
      </c>
      <c r="B422" s="2" t="str">
        <f t="shared" si="48"/>
        <v>Channel Partners</v>
      </c>
      <c r="C422" s="2" t="s">
        <v>19</v>
      </c>
      <c r="D422" s="2" t="str">
        <f>PROPER(Table1[[#This Row],[Country]])</f>
        <v>Germany</v>
      </c>
      <c r="E422" s="3" t="s">
        <v>28</v>
      </c>
      <c r="F422" s="3" t="s">
        <v>34</v>
      </c>
      <c r="G422" s="13">
        <v>1775</v>
      </c>
      <c r="H422" s="4">
        <v>10</v>
      </c>
      <c r="I422" s="4">
        <v>12</v>
      </c>
      <c r="J422" s="4">
        <f t="shared" si="49"/>
        <v>21300</v>
      </c>
      <c r="K422" s="4">
        <v>1917</v>
      </c>
      <c r="L422" s="4">
        <f t="shared" si="50"/>
        <v>19383</v>
      </c>
      <c r="M422" s="4">
        <v>5325</v>
      </c>
      <c r="N422" s="4">
        <f t="shared" si="51"/>
        <v>14058</v>
      </c>
      <c r="O422" s="16">
        <f t="shared" si="52"/>
        <v>0.72527472527472525</v>
      </c>
      <c r="P422" s="19">
        <v>41579</v>
      </c>
      <c r="Q422" s="5">
        <f t="shared" si="53"/>
        <v>11</v>
      </c>
      <c r="R422" s="3" t="str">
        <f t="shared" si="54"/>
        <v>November</v>
      </c>
      <c r="S422" s="6">
        <f t="shared" si="55"/>
        <v>2013</v>
      </c>
    </row>
    <row r="423" spans="1:19" ht="12.75" x14ac:dyDescent="0.2">
      <c r="A423" s="2" t="s">
        <v>25</v>
      </c>
      <c r="B423" s="2" t="str">
        <f t="shared" si="48"/>
        <v>Enterprise</v>
      </c>
      <c r="C423" s="2" t="s">
        <v>71</v>
      </c>
      <c r="D423" s="2" t="str">
        <f>PROPER(Table1[[#This Row],[Country]])</f>
        <v>Usa</v>
      </c>
      <c r="E423" s="3" t="s">
        <v>28</v>
      </c>
      <c r="F423" s="3" t="s">
        <v>34</v>
      </c>
      <c r="G423" s="13">
        <v>2797</v>
      </c>
      <c r="H423" s="4">
        <v>10</v>
      </c>
      <c r="I423" s="4">
        <v>125</v>
      </c>
      <c r="J423" s="4">
        <f t="shared" si="49"/>
        <v>349625</v>
      </c>
      <c r="K423" s="4">
        <v>31466.25</v>
      </c>
      <c r="L423" s="4">
        <f t="shared" si="50"/>
        <v>318158.75</v>
      </c>
      <c r="M423" s="4">
        <v>335640</v>
      </c>
      <c r="N423" s="4">
        <f t="shared" si="51"/>
        <v>-17481.25</v>
      </c>
      <c r="O423" s="16">
        <f t="shared" si="52"/>
        <v>-5.4945054945054944E-2</v>
      </c>
      <c r="P423" s="19">
        <v>41974</v>
      </c>
      <c r="Q423" s="5">
        <f t="shared" si="53"/>
        <v>12</v>
      </c>
      <c r="R423" s="3" t="str">
        <f t="shared" si="54"/>
        <v>December</v>
      </c>
      <c r="S423" s="6">
        <f t="shared" si="55"/>
        <v>2014</v>
      </c>
    </row>
    <row r="424" spans="1:19" ht="12.75" x14ac:dyDescent="0.2">
      <c r="A424" s="2" t="s">
        <v>20</v>
      </c>
      <c r="B424" s="2" t="str">
        <f t="shared" si="48"/>
        <v>Midmarket</v>
      </c>
      <c r="C424" s="2" t="s">
        <v>22</v>
      </c>
      <c r="D424" s="2" t="str">
        <f>PROPER(Table1[[#This Row],[Country]])</f>
        <v>Mexico</v>
      </c>
      <c r="E424" s="3" t="s">
        <v>30</v>
      </c>
      <c r="F424" s="3" t="s">
        <v>34</v>
      </c>
      <c r="G424" s="13">
        <v>245</v>
      </c>
      <c r="H424" s="4">
        <v>120</v>
      </c>
      <c r="I424" s="4">
        <v>15</v>
      </c>
      <c r="J424" s="4">
        <f t="shared" si="49"/>
        <v>3675</v>
      </c>
      <c r="K424" s="4">
        <v>330.75</v>
      </c>
      <c r="L424" s="4">
        <f t="shared" si="50"/>
        <v>3344.25</v>
      </c>
      <c r="M424" s="4">
        <v>2450</v>
      </c>
      <c r="N424" s="4">
        <f t="shared" si="51"/>
        <v>894.25</v>
      </c>
      <c r="O424" s="16">
        <f t="shared" si="52"/>
        <v>0.26739926739926739</v>
      </c>
      <c r="P424" s="19">
        <v>41760</v>
      </c>
      <c r="Q424" s="5">
        <f t="shared" si="53"/>
        <v>5</v>
      </c>
      <c r="R424" s="3" t="str">
        <f t="shared" si="54"/>
        <v>May</v>
      </c>
      <c r="S424" s="6">
        <f t="shared" si="55"/>
        <v>2014</v>
      </c>
    </row>
    <row r="425" spans="1:19" ht="12.75" x14ac:dyDescent="0.2">
      <c r="A425" s="2" t="s">
        <v>29</v>
      </c>
      <c r="B425" s="2" t="str">
        <f t="shared" si="48"/>
        <v>Small Business</v>
      </c>
      <c r="C425" s="2" t="s">
        <v>16</v>
      </c>
      <c r="D425" s="2" t="str">
        <f>PROPER(Table1[[#This Row],[Country]])</f>
        <v>Canada</v>
      </c>
      <c r="E425" s="3" t="s">
        <v>30</v>
      </c>
      <c r="F425" s="3" t="s">
        <v>34</v>
      </c>
      <c r="G425" s="13">
        <v>3793.5</v>
      </c>
      <c r="H425" s="4">
        <v>120</v>
      </c>
      <c r="I425" s="4">
        <v>300</v>
      </c>
      <c r="J425" s="4">
        <f t="shared" si="49"/>
        <v>1138050</v>
      </c>
      <c r="K425" s="4">
        <v>102424.5</v>
      </c>
      <c r="L425" s="4">
        <f t="shared" si="50"/>
        <v>1035625.5</v>
      </c>
      <c r="M425" s="4">
        <v>948375</v>
      </c>
      <c r="N425" s="4">
        <f t="shared" si="51"/>
        <v>87250.5</v>
      </c>
      <c r="O425" s="16">
        <f t="shared" si="52"/>
        <v>8.4249084249084255E-2</v>
      </c>
      <c r="P425" s="19">
        <v>41821</v>
      </c>
      <c r="Q425" s="5">
        <f t="shared" si="53"/>
        <v>7</v>
      </c>
      <c r="R425" s="3" t="str">
        <f t="shared" si="54"/>
        <v>July</v>
      </c>
      <c r="S425" s="6">
        <f t="shared" si="55"/>
        <v>2014</v>
      </c>
    </row>
    <row r="426" spans="1:19" ht="12.75" x14ac:dyDescent="0.2">
      <c r="A426" s="2" t="s">
        <v>15</v>
      </c>
      <c r="B426" s="2" t="str">
        <f t="shared" si="48"/>
        <v>Government</v>
      </c>
      <c r="C426" s="2" t="s">
        <v>19</v>
      </c>
      <c r="D426" s="2" t="str">
        <f>PROPER(Table1[[#This Row],[Country]])</f>
        <v>Germany</v>
      </c>
      <c r="E426" s="3" t="s">
        <v>30</v>
      </c>
      <c r="F426" s="3" t="s">
        <v>34</v>
      </c>
      <c r="G426" s="13">
        <v>1307</v>
      </c>
      <c r="H426" s="4">
        <v>120</v>
      </c>
      <c r="I426" s="4">
        <v>350</v>
      </c>
      <c r="J426" s="4">
        <f t="shared" si="49"/>
        <v>457450</v>
      </c>
      <c r="K426" s="4">
        <v>41170.5</v>
      </c>
      <c r="L426" s="4">
        <f t="shared" si="50"/>
        <v>416279.5</v>
      </c>
      <c r="M426" s="4">
        <v>339820</v>
      </c>
      <c r="N426" s="4">
        <f t="shared" si="51"/>
        <v>76459.5</v>
      </c>
      <c r="O426" s="16">
        <f t="shared" si="52"/>
        <v>0.18367346938775511</v>
      </c>
      <c r="P426" s="19">
        <v>41821</v>
      </c>
      <c r="Q426" s="5">
        <f t="shared" si="53"/>
        <v>7</v>
      </c>
      <c r="R426" s="3" t="str">
        <f t="shared" si="54"/>
        <v>July</v>
      </c>
      <c r="S426" s="6">
        <f t="shared" si="55"/>
        <v>2014</v>
      </c>
    </row>
    <row r="427" spans="1:19" ht="12.75" x14ac:dyDescent="0.2">
      <c r="A427" s="2" t="s">
        <v>25</v>
      </c>
      <c r="B427" s="2" t="str">
        <f t="shared" si="48"/>
        <v>Enterprise</v>
      </c>
      <c r="C427" s="2" t="s">
        <v>16</v>
      </c>
      <c r="D427" s="2" t="str">
        <f>PROPER(Table1[[#This Row],[Country]])</f>
        <v>Canada</v>
      </c>
      <c r="E427" s="3" t="s">
        <v>30</v>
      </c>
      <c r="F427" s="3" t="s">
        <v>34</v>
      </c>
      <c r="G427" s="13">
        <v>567</v>
      </c>
      <c r="H427" s="4">
        <v>120</v>
      </c>
      <c r="I427" s="4">
        <v>125</v>
      </c>
      <c r="J427" s="4">
        <f t="shared" si="49"/>
        <v>70875</v>
      </c>
      <c r="K427" s="4">
        <v>6378.75</v>
      </c>
      <c r="L427" s="4">
        <f t="shared" si="50"/>
        <v>64496.25</v>
      </c>
      <c r="M427" s="4">
        <v>68040</v>
      </c>
      <c r="N427" s="4">
        <f t="shared" si="51"/>
        <v>-3543.75</v>
      </c>
      <c r="O427" s="16">
        <f t="shared" si="52"/>
        <v>-5.4945054945054944E-2</v>
      </c>
      <c r="P427" s="19">
        <v>41883</v>
      </c>
      <c r="Q427" s="5">
        <f t="shared" si="53"/>
        <v>9</v>
      </c>
      <c r="R427" s="3" t="str">
        <f t="shared" si="54"/>
        <v>September</v>
      </c>
      <c r="S427" s="6">
        <f t="shared" si="55"/>
        <v>2014</v>
      </c>
    </row>
    <row r="428" spans="1:19" ht="12.75" x14ac:dyDescent="0.2">
      <c r="A428" s="2" t="s">
        <v>25</v>
      </c>
      <c r="B428" s="2" t="str">
        <f t="shared" si="48"/>
        <v>Enterprise</v>
      </c>
      <c r="C428" s="2" t="s">
        <v>22</v>
      </c>
      <c r="D428" s="2" t="str">
        <f>PROPER(Table1[[#This Row],[Country]])</f>
        <v>Mexico</v>
      </c>
      <c r="E428" s="3" t="s">
        <v>30</v>
      </c>
      <c r="F428" s="3" t="s">
        <v>34</v>
      </c>
      <c r="G428" s="13">
        <v>2110</v>
      </c>
      <c r="H428" s="4">
        <v>120</v>
      </c>
      <c r="I428" s="4">
        <v>125</v>
      </c>
      <c r="J428" s="4">
        <f t="shared" si="49"/>
        <v>263750</v>
      </c>
      <c r="K428" s="4">
        <v>23737.5</v>
      </c>
      <c r="L428" s="4">
        <f t="shared" si="50"/>
        <v>240012.5</v>
      </c>
      <c r="M428" s="4">
        <v>253200</v>
      </c>
      <c r="N428" s="4">
        <f t="shared" si="51"/>
        <v>-13187.5</v>
      </c>
      <c r="O428" s="16">
        <f t="shared" si="52"/>
        <v>-5.4945054945054944E-2</v>
      </c>
      <c r="P428" s="19">
        <v>41883</v>
      </c>
      <c r="Q428" s="5">
        <f t="shared" si="53"/>
        <v>9</v>
      </c>
      <c r="R428" s="3" t="str">
        <f t="shared" si="54"/>
        <v>September</v>
      </c>
      <c r="S428" s="6">
        <f t="shared" si="55"/>
        <v>2014</v>
      </c>
    </row>
    <row r="429" spans="1:19" ht="12.75" x14ac:dyDescent="0.2">
      <c r="A429" s="2" t="s">
        <v>15</v>
      </c>
      <c r="B429" s="2" t="str">
        <f t="shared" si="48"/>
        <v>Government</v>
      </c>
      <c r="C429" s="2" t="s">
        <v>16</v>
      </c>
      <c r="D429" s="2" t="str">
        <f>PROPER(Table1[[#This Row],[Country]])</f>
        <v>Canada</v>
      </c>
      <c r="E429" s="3" t="s">
        <v>30</v>
      </c>
      <c r="F429" s="3" t="s">
        <v>34</v>
      </c>
      <c r="G429" s="13">
        <v>1269</v>
      </c>
      <c r="H429" s="4">
        <v>120</v>
      </c>
      <c r="I429" s="4">
        <v>350</v>
      </c>
      <c r="J429" s="4">
        <f t="shared" si="49"/>
        <v>444150</v>
      </c>
      <c r="K429" s="4">
        <v>39973.5</v>
      </c>
      <c r="L429" s="4">
        <f t="shared" si="50"/>
        <v>404176.5</v>
      </c>
      <c r="M429" s="4">
        <v>329940</v>
      </c>
      <c r="N429" s="4">
        <f t="shared" si="51"/>
        <v>74236.5</v>
      </c>
      <c r="O429" s="16">
        <f t="shared" si="52"/>
        <v>0.18367346938775511</v>
      </c>
      <c r="P429" s="19">
        <v>41913</v>
      </c>
      <c r="Q429" s="5">
        <f t="shared" si="53"/>
        <v>10</v>
      </c>
      <c r="R429" s="3" t="str">
        <f t="shared" si="54"/>
        <v>October</v>
      </c>
      <c r="S429" s="6">
        <f t="shared" si="55"/>
        <v>2014</v>
      </c>
    </row>
    <row r="430" spans="1:19" ht="12.75" x14ac:dyDescent="0.2">
      <c r="A430" s="2" t="s">
        <v>24</v>
      </c>
      <c r="B430" s="2" t="str">
        <f t="shared" si="48"/>
        <v>Channel Partners</v>
      </c>
      <c r="C430" s="2" t="s">
        <v>71</v>
      </c>
      <c r="D430" s="2" t="str">
        <f>PROPER(Table1[[#This Row],[Country]])</f>
        <v>Usa</v>
      </c>
      <c r="E430" s="3" t="s">
        <v>31</v>
      </c>
      <c r="F430" s="3" t="s">
        <v>34</v>
      </c>
      <c r="G430" s="13">
        <v>1956</v>
      </c>
      <c r="H430" s="4">
        <v>250</v>
      </c>
      <c r="I430" s="4">
        <v>12</v>
      </c>
      <c r="J430" s="4">
        <f t="shared" si="49"/>
        <v>23472</v>
      </c>
      <c r="K430" s="4">
        <v>2112.48</v>
      </c>
      <c r="L430" s="4">
        <f t="shared" si="50"/>
        <v>21359.52</v>
      </c>
      <c r="M430" s="4">
        <v>5868</v>
      </c>
      <c r="N430" s="4">
        <f t="shared" si="51"/>
        <v>15491.52</v>
      </c>
      <c r="O430" s="16">
        <f t="shared" si="52"/>
        <v>0.72527472527472525</v>
      </c>
      <c r="P430" s="19">
        <v>41640</v>
      </c>
      <c r="Q430" s="5">
        <f t="shared" si="53"/>
        <v>1</v>
      </c>
      <c r="R430" s="3" t="str">
        <f t="shared" si="54"/>
        <v>January</v>
      </c>
      <c r="S430" s="6">
        <f t="shared" si="55"/>
        <v>2014</v>
      </c>
    </row>
    <row r="431" spans="1:19" ht="12.75" x14ac:dyDescent="0.2">
      <c r="A431" s="2" t="s">
        <v>29</v>
      </c>
      <c r="B431" s="2" t="str">
        <f t="shared" si="48"/>
        <v>Small Business</v>
      </c>
      <c r="C431" s="2" t="s">
        <v>19</v>
      </c>
      <c r="D431" s="2" t="str">
        <f>PROPER(Table1[[#This Row],[Country]])</f>
        <v>Germany</v>
      </c>
      <c r="E431" s="3" t="s">
        <v>31</v>
      </c>
      <c r="F431" s="3" t="s">
        <v>34</v>
      </c>
      <c r="G431" s="13">
        <v>2659</v>
      </c>
      <c r="H431" s="4">
        <v>250</v>
      </c>
      <c r="I431" s="4">
        <v>300</v>
      </c>
      <c r="J431" s="4">
        <f t="shared" si="49"/>
        <v>797700</v>
      </c>
      <c r="K431" s="4">
        <v>71793</v>
      </c>
      <c r="L431" s="4">
        <f t="shared" si="50"/>
        <v>725907</v>
      </c>
      <c r="M431" s="4">
        <v>664750</v>
      </c>
      <c r="N431" s="4">
        <f t="shared" si="51"/>
        <v>61157</v>
      </c>
      <c r="O431" s="16">
        <f t="shared" si="52"/>
        <v>8.4249084249084255E-2</v>
      </c>
      <c r="P431" s="19">
        <v>41671</v>
      </c>
      <c r="Q431" s="5">
        <f t="shared" si="53"/>
        <v>2</v>
      </c>
      <c r="R431" s="3" t="str">
        <f t="shared" si="54"/>
        <v>February</v>
      </c>
      <c r="S431" s="6">
        <f t="shared" si="55"/>
        <v>2014</v>
      </c>
    </row>
    <row r="432" spans="1:19" ht="12.75" x14ac:dyDescent="0.2">
      <c r="A432" s="2" t="s">
        <v>15</v>
      </c>
      <c r="B432" s="2" t="str">
        <f t="shared" si="48"/>
        <v>Government</v>
      </c>
      <c r="C432" s="2" t="s">
        <v>71</v>
      </c>
      <c r="D432" s="2" t="str">
        <f>PROPER(Table1[[#This Row],[Country]])</f>
        <v>Usa</v>
      </c>
      <c r="E432" s="3" t="s">
        <v>31</v>
      </c>
      <c r="F432" s="3" t="s">
        <v>34</v>
      </c>
      <c r="G432" s="13">
        <v>1351.5</v>
      </c>
      <c r="H432" s="4">
        <v>250</v>
      </c>
      <c r="I432" s="4">
        <v>350</v>
      </c>
      <c r="J432" s="4">
        <f t="shared" si="49"/>
        <v>473025</v>
      </c>
      <c r="K432" s="4">
        <v>42572.25</v>
      </c>
      <c r="L432" s="4">
        <f t="shared" si="50"/>
        <v>430452.75</v>
      </c>
      <c r="M432" s="4">
        <v>351390</v>
      </c>
      <c r="N432" s="4">
        <f t="shared" si="51"/>
        <v>79062.75</v>
      </c>
      <c r="O432" s="16">
        <f t="shared" si="52"/>
        <v>0.18367346938775511</v>
      </c>
      <c r="P432" s="19">
        <v>41730</v>
      </c>
      <c r="Q432" s="5">
        <f t="shared" si="53"/>
        <v>4</v>
      </c>
      <c r="R432" s="3" t="str">
        <f t="shared" si="54"/>
        <v>April</v>
      </c>
      <c r="S432" s="6">
        <f t="shared" si="55"/>
        <v>2014</v>
      </c>
    </row>
    <row r="433" spans="1:19" ht="12.75" x14ac:dyDescent="0.2">
      <c r="A433" s="2" t="s">
        <v>24</v>
      </c>
      <c r="B433" s="2" t="str">
        <f t="shared" si="48"/>
        <v>Channel Partners</v>
      </c>
      <c r="C433" s="2" t="s">
        <v>19</v>
      </c>
      <c r="D433" s="2" t="str">
        <f>PROPER(Table1[[#This Row],[Country]])</f>
        <v>Germany</v>
      </c>
      <c r="E433" s="3" t="s">
        <v>31</v>
      </c>
      <c r="F433" s="3" t="s">
        <v>34</v>
      </c>
      <c r="G433" s="13">
        <v>880</v>
      </c>
      <c r="H433" s="4">
        <v>250</v>
      </c>
      <c r="I433" s="4">
        <v>12</v>
      </c>
      <c r="J433" s="4">
        <f t="shared" si="49"/>
        <v>10560</v>
      </c>
      <c r="K433" s="4">
        <v>950.4</v>
      </c>
      <c r="L433" s="4">
        <f t="shared" si="50"/>
        <v>9609.6</v>
      </c>
      <c r="M433" s="4">
        <v>2640</v>
      </c>
      <c r="N433" s="4">
        <f t="shared" si="51"/>
        <v>6969.6</v>
      </c>
      <c r="O433" s="16">
        <f t="shared" si="52"/>
        <v>0.72527472527472525</v>
      </c>
      <c r="P433" s="19">
        <v>41760</v>
      </c>
      <c r="Q433" s="5">
        <f t="shared" si="53"/>
        <v>5</v>
      </c>
      <c r="R433" s="3" t="str">
        <f t="shared" si="54"/>
        <v>May</v>
      </c>
      <c r="S433" s="6">
        <f t="shared" si="55"/>
        <v>2014</v>
      </c>
    </row>
    <row r="434" spans="1:19" ht="12.75" x14ac:dyDescent="0.2">
      <c r="A434" s="2" t="s">
        <v>29</v>
      </c>
      <c r="B434" s="2" t="str">
        <f t="shared" si="48"/>
        <v>Small Business</v>
      </c>
      <c r="C434" s="2" t="s">
        <v>71</v>
      </c>
      <c r="D434" s="2" t="str">
        <f>PROPER(Table1[[#This Row],[Country]])</f>
        <v>Usa</v>
      </c>
      <c r="E434" s="3" t="s">
        <v>31</v>
      </c>
      <c r="F434" s="3" t="s">
        <v>34</v>
      </c>
      <c r="G434" s="13">
        <v>1867</v>
      </c>
      <c r="H434" s="4">
        <v>250</v>
      </c>
      <c r="I434" s="4">
        <v>300</v>
      </c>
      <c r="J434" s="4">
        <f t="shared" si="49"/>
        <v>560100</v>
      </c>
      <c r="K434" s="4">
        <v>50409</v>
      </c>
      <c r="L434" s="4">
        <f t="shared" si="50"/>
        <v>509691</v>
      </c>
      <c r="M434" s="4">
        <v>466750</v>
      </c>
      <c r="N434" s="4">
        <f t="shared" si="51"/>
        <v>42941</v>
      </c>
      <c r="O434" s="16">
        <f t="shared" si="52"/>
        <v>8.4249084249084255E-2</v>
      </c>
      <c r="P434" s="19">
        <v>41883</v>
      </c>
      <c r="Q434" s="5">
        <f t="shared" si="53"/>
        <v>9</v>
      </c>
      <c r="R434" s="3" t="str">
        <f t="shared" si="54"/>
        <v>September</v>
      </c>
      <c r="S434" s="6">
        <f t="shared" si="55"/>
        <v>2014</v>
      </c>
    </row>
    <row r="435" spans="1:19" ht="12.75" x14ac:dyDescent="0.2">
      <c r="A435" s="2" t="s">
        <v>24</v>
      </c>
      <c r="B435" s="2" t="str">
        <f t="shared" si="48"/>
        <v>Channel Partners</v>
      </c>
      <c r="C435" s="2" t="s">
        <v>21</v>
      </c>
      <c r="D435" s="2" t="str">
        <f>PROPER(Table1[[#This Row],[Country]])</f>
        <v>France</v>
      </c>
      <c r="E435" s="3" t="s">
        <v>31</v>
      </c>
      <c r="F435" s="3" t="s">
        <v>34</v>
      </c>
      <c r="G435" s="13">
        <v>2234</v>
      </c>
      <c r="H435" s="4">
        <v>250</v>
      </c>
      <c r="I435" s="4">
        <v>12</v>
      </c>
      <c r="J435" s="4">
        <f t="shared" si="49"/>
        <v>26808</v>
      </c>
      <c r="K435" s="4">
        <v>2412.7199999999998</v>
      </c>
      <c r="L435" s="4">
        <f t="shared" si="50"/>
        <v>24395.279999999999</v>
      </c>
      <c r="M435" s="4">
        <v>6702</v>
      </c>
      <c r="N435" s="4">
        <f t="shared" si="51"/>
        <v>17693.28</v>
      </c>
      <c r="O435" s="16">
        <f t="shared" si="52"/>
        <v>0.72527472527472525</v>
      </c>
      <c r="P435" s="19">
        <v>41518</v>
      </c>
      <c r="Q435" s="5">
        <f t="shared" si="53"/>
        <v>9</v>
      </c>
      <c r="R435" s="3" t="str">
        <f t="shared" si="54"/>
        <v>September</v>
      </c>
      <c r="S435" s="6">
        <f t="shared" si="55"/>
        <v>2013</v>
      </c>
    </row>
    <row r="436" spans="1:19" ht="12.75" x14ac:dyDescent="0.2">
      <c r="A436" s="2" t="s">
        <v>20</v>
      </c>
      <c r="B436" s="2" t="str">
        <f t="shared" si="48"/>
        <v>Midmarket</v>
      </c>
      <c r="C436" s="2" t="s">
        <v>21</v>
      </c>
      <c r="D436" s="2" t="str">
        <f>PROPER(Table1[[#This Row],[Country]])</f>
        <v>France</v>
      </c>
      <c r="E436" s="3" t="s">
        <v>31</v>
      </c>
      <c r="F436" s="3" t="s">
        <v>34</v>
      </c>
      <c r="G436" s="13">
        <v>1227</v>
      </c>
      <c r="H436" s="4">
        <v>250</v>
      </c>
      <c r="I436" s="4">
        <v>15</v>
      </c>
      <c r="J436" s="4">
        <f t="shared" si="49"/>
        <v>18405</v>
      </c>
      <c r="K436" s="4">
        <v>1656.45</v>
      </c>
      <c r="L436" s="4">
        <f t="shared" si="50"/>
        <v>16748.55</v>
      </c>
      <c r="M436" s="4">
        <v>12270</v>
      </c>
      <c r="N436" s="4">
        <f t="shared" si="51"/>
        <v>4478.5499999999993</v>
      </c>
      <c r="O436" s="16">
        <f t="shared" si="52"/>
        <v>0.26739926739926739</v>
      </c>
      <c r="P436" s="19">
        <v>41913</v>
      </c>
      <c r="Q436" s="5">
        <f t="shared" si="53"/>
        <v>10</v>
      </c>
      <c r="R436" s="3" t="str">
        <f t="shared" si="54"/>
        <v>October</v>
      </c>
      <c r="S436" s="6">
        <f t="shared" si="55"/>
        <v>2014</v>
      </c>
    </row>
    <row r="437" spans="1:19" ht="12.75" x14ac:dyDescent="0.2">
      <c r="A437" s="2" t="s">
        <v>25</v>
      </c>
      <c r="B437" s="2" t="str">
        <f t="shared" si="48"/>
        <v>Enterprise</v>
      </c>
      <c r="C437" s="2" t="s">
        <v>22</v>
      </c>
      <c r="D437" s="2" t="str">
        <f>PROPER(Table1[[#This Row],[Country]])</f>
        <v>Mexico</v>
      </c>
      <c r="E437" s="3" t="s">
        <v>31</v>
      </c>
      <c r="F437" s="3" t="s">
        <v>34</v>
      </c>
      <c r="G437" s="13">
        <v>877</v>
      </c>
      <c r="H437" s="4">
        <v>250</v>
      </c>
      <c r="I437" s="4">
        <v>125</v>
      </c>
      <c r="J437" s="4">
        <f t="shared" si="49"/>
        <v>109625</v>
      </c>
      <c r="K437" s="4">
        <v>9866.25</v>
      </c>
      <c r="L437" s="4">
        <f t="shared" si="50"/>
        <v>99758.75</v>
      </c>
      <c r="M437" s="4">
        <v>105240</v>
      </c>
      <c r="N437" s="4">
        <f t="shared" si="51"/>
        <v>-5481.25</v>
      </c>
      <c r="O437" s="16">
        <f t="shared" si="52"/>
        <v>-5.4945054945054944E-2</v>
      </c>
      <c r="P437" s="19">
        <v>41944</v>
      </c>
      <c r="Q437" s="5">
        <f t="shared" si="53"/>
        <v>11</v>
      </c>
      <c r="R437" s="3" t="str">
        <f t="shared" si="54"/>
        <v>November</v>
      </c>
      <c r="S437" s="6">
        <f t="shared" si="55"/>
        <v>2014</v>
      </c>
    </row>
    <row r="438" spans="1:19" ht="12.75" x14ac:dyDescent="0.2">
      <c r="A438" s="2" t="s">
        <v>15</v>
      </c>
      <c r="B438" s="2" t="str">
        <f t="shared" si="48"/>
        <v>Government</v>
      </c>
      <c r="C438" s="2" t="s">
        <v>71</v>
      </c>
      <c r="D438" s="2" t="str">
        <f>PROPER(Table1[[#This Row],[Country]])</f>
        <v>Usa</v>
      </c>
      <c r="E438" s="3" t="s">
        <v>32</v>
      </c>
      <c r="F438" s="3" t="s">
        <v>34</v>
      </c>
      <c r="G438" s="13">
        <v>2071</v>
      </c>
      <c r="H438" s="4">
        <v>260</v>
      </c>
      <c r="I438" s="4">
        <v>350</v>
      </c>
      <c r="J438" s="4">
        <f t="shared" si="49"/>
        <v>724850</v>
      </c>
      <c r="K438" s="4">
        <v>65236.5</v>
      </c>
      <c r="L438" s="4">
        <f t="shared" si="50"/>
        <v>659613.5</v>
      </c>
      <c r="M438" s="4">
        <v>538460</v>
      </c>
      <c r="N438" s="4">
        <f t="shared" si="51"/>
        <v>121153.5</v>
      </c>
      <c r="O438" s="16">
        <f t="shared" si="52"/>
        <v>0.18367346938775511</v>
      </c>
      <c r="P438" s="19">
        <v>41883</v>
      </c>
      <c r="Q438" s="5">
        <f t="shared" si="53"/>
        <v>9</v>
      </c>
      <c r="R438" s="3" t="str">
        <f t="shared" si="54"/>
        <v>September</v>
      </c>
      <c r="S438" s="6">
        <f t="shared" si="55"/>
        <v>2014</v>
      </c>
    </row>
    <row r="439" spans="1:19" ht="12.75" x14ac:dyDescent="0.2">
      <c r="A439" s="2" t="s">
        <v>15</v>
      </c>
      <c r="B439" s="2" t="str">
        <f t="shared" si="48"/>
        <v>Government</v>
      </c>
      <c r="C439" s="2" t="s">
        <v>16</v>
      </c>
      <c r="D439" s="2" t="str">
        <f>PROPER(Table1[[#This Row],[Country]])</f>
        <v>Canada</v>
      </c>
      <c r="E439" s="3" t="s">
        <v>32</v>
      </c>
      <c r="F439" s="3" t="s">
        <v>34</v>
      </c>
      <c r="G439" s="13">
        <v>1269</v>
      </c>
      <c r="H439" s="4">
        <v>260</v>
      </c>
      <c r="I439" s="4">
        <v>350</v>
      </c>
      <c r="J439" s="4">
        <f t="shared" si="49"/>
        <v>444150</v>
      </c>
      <c r="K439" s="4">
        <v>39973.5</v>
      </c>
      <c r="L439" s="4">
        <f t="shared" si="50"/>
        <v>404176.5</v>
      </c>
      <c r="M439" s="4">
        <v>329940</v>
      </c>
      <c r="N439" s="4">
        <f t="shared" si="51"/>
        <v>74236.5</v>
      </c>
      <c r="O439" s="16">
        <f t="shared" si="52"/>
        <v>0.18367346938775511</v>
      </c>
      <c r="P439" s="19">
        <v>41913</v>
      </c>
      <c r="Q439" s="5">
        <f t="shared" si="53"/>
        <v>10</v>
      </c>
      <c r="R439" s="3" t="str">
        <f t="shared" si="54"/>
        <v>October</v>
      </c>
      <c r="S439" s="6">
        <f t="shared" si="55"/>
        <v>2014</v>
      </c>
    </row>
    <row r="440" spans="1:19" ht="12.75" x14ac:dyDescent="0.2">
      <c r="A440" s="2" t="s">
        <v>20</v>
      </c>
      <c r="B440" s="2" t="str">
        <f t="shared" si="48"/>
        <v>Midmarket</v>
      </c>
      <c r="C440" s="2" t="s">
        <v>19</v>
      </c>
      <c r="D440" s="2" t="str">
        <f>PROPER(Table1[[#This Row],[Country]])</f>
        <v>Germany</v>
      </c>
      <c r="E440" s="3" t="s">
        <v>32</v>
      </c>
      <c r="F440" s="3" t="s">
        <v>34</v>
      </c>
      <c r="G440" s="13">
        <v>970</v>
      </c>
      <c r="H440" s="4">
        <v>260</v>
      </c>
      <c r="I440" s="4">
        <v>15</v>
      </c>
      <c r="J440" s="4">
        <f t="shared" si="49"/>
        <v>14550</v>
      </c>
      <c r="K440" s="4">
        <v>1309.5</v>
      </c>
      <c r="L440" s="4">
        <f t="shared" si="50"/>
        <v>13240.5</v>
      </c>
      <c r="M440" s="4">
        <v>9700</v>
      </c>
      <c r="N440" s="4">
        <f t="shared" si="51"/>
        <v>3540.5</v>
      </c>
      <c r="O440" s="16">
        <f t="shared" si="52"/>
        <v>0.26739926739926739</v>
      </c>
      <c r="P440" s="19">
        <v>41579</v>
      </c>
      <c r="Q440" s="5">
        <f t="shared" si="53"/>
        <v>11</v>
      </c>
      <c r="R440" s="3" t="str">
        <f t="shared" si="54"/>
        <v>November</v>
      </c>
      <c r="S440" s="6">
        <f t="shared" si="55"/>
        <v>2013</v>
      </c>
    </row>
    <row r="441" spans="1:19" ht="12.75" x14ac:dyDescent="0.2">
      <c r="A441" s="2" t="s">
        <v>15</v>
      </c>
      <c r="B441" s="2" t="str">
        <f t="shared" si="48"/>
        <v>Government</v>
      </c>
      <c r="C441" s="2" t="s">
        <v>22</v>
      </c>
      <c r="D441" s="2" t="str">
        <f>PROPER(Table1[[#This Row],[Country]])</f>
        <v>Mexico</v>
      </c>
      <c r="E441" s="3" t="s">
        <v>32</v>
      </c>
      <c r="F441" s="3" t="s">
        <v>34</v>
      </c>
      <c r="G441" s="13">
        <v>1694</v>
      </c>
      <c r="H441" s="4">
        <v>260</v>
      </c>
      <c r="I441" s="4">
        <v>20</v>
      </c>
      <c r="J441" s="4">
        <f t="shared" si="49"/>
        <v>33880</v>
      </c>
      <c r="K441" s="4">
        <v>3049.2</v>
      </c>
      <c r="L441" s="4">
        <f t="shared" si="50"/>
        <v>30830.799999999999</v>
      </c>
      <c r="M441" s="4">
        <v>16940</v>
      </c>
      <c r="N441" s="4">
        <f t="shared" si="51"/>
        <v>13890.8</v>
      </c>
      <c r="O441" s="16">
        <f t="shared" si="52"/>
        <v>0.45054945054945056</v>
      </c>
      <c r="P441" s="19">
        <v>41944</v>
      </c>
      <c r="Q441" s="5">
        <f t="shared" si="53"/>
        <v>11</v>
      </c>
      <c r="R441" s="3" t="str">
        <f t="shared" si="54"/>
        <v>November</v>
      </c>
      <c r="S441" s="6">
        <f t="shared" si="55"/>
        <v>2014</v>
      </c>
    </row>
    <row r="442" spans="1:19" ht="12.75" x14ac:dyDescent="0.2">
      <c r="A442" s="2" t="s">
        <v>15</v>
      </c>
      <c r="B442" s="2" t="str">
        <f t="shared" si="48"/>
        <v>Government</v>
      </c>
      <c r="C442" s="2" t="s">
        <v>19</v>
      </c>
      <c r="D442" s="2" t="str">
        <f>PROPER(Table1[[#This Row],[Country]])</f>
        <v>Germany</v>
      </c>
      <c r="E442" s="3" t="s">
        <v>17</v>
      </c>
      <c r="F442" s="3" t="s">
        <v>34</v>
      </c>
      <c r="G442" s="13">
        <v>663</v>
      </c>
      <c r="H442" s="4">
        <v>3</v>
      </c>
      <c r="I442" s="4">
        <v>20</v>
      </c>
      <c r="J442" s="4">
        <f t="shared" si="49"/>
        <v>13260</v>
      </c>
      <c r="K442" s="4">
        <v>1193.4000000000001</v>
      </c>
      <c r="L442" s="4">
        <f t="shared" si="50"/>
        <v>12066.6</v>
      </c>
      <c r="M442" s="4">
        <v>6630</v>
      </c>
      <c r="N442" s="4">
        <f t="shared" si="51"/>
        <v>5436.6</v>
      </c>
      <c r="O442" s="16">
        <f t="shared" si="52"/>
        <v>0.45054945054945056</v>
      </c>
      <c r="P442" s="19">
        <v>41760</v>
      </c>
      <c r="Q442" s="5">
        <f t="shared" si="53"/>
        <v>5</v>
      </c>
      <c r="R442" s="3" t="str">
        <f t="shared" si="54"/>
        <v>May</v>
      </c>
      <c r="S442" s="6">
        <f t="shared" si="55"/>
        <v>2014</v>
      </c>
    </row>
    <row r="443" spans="1:19" ht="12.75" x14ac:dyDescent="0.2">
      <c r="A443" s="2" t="s">
        <v>15</v>
      </c>
      <c r="B443" s="2" t="str">
        <f t="shared" si="48"/>
        <v>Government</v>
      </c>
      <c r="C443" s="2" t="s">
        <v>16</v>
      </c>
      <c r="D443" s="2" t="str">
        <f>PROPER(Table1[[#This Row],[Country]])</f>
        <v>Canada</v>
      </c>
      <c r="E443" s="3" t="s">
        <v>17</v>
      </c>
      <c r="F443" s="3" t="s">
        <v>34</v>
      </c>
      <c r="G443" s="13">
        <v>819</v>
      </c>
      <c r="H443" s="4">
        <v>3</v>
      </c>
      <c r="I443" s="4">
        <v>7</v>
      </c>
      <c r="J443" s="4">
        <f t="shared" si="49"/>
        <v>5733</v>
      </c>
      <c r="K443" s="4">
        <v>515.97</v>
      </c>
      <c r="L443" s="4">
        <f t="shared" si="50"/>
        <v>5217.03</v>
      </c>
      <c r="M443" s="4">
        <v>4095</v>
      </c>
      <c r="N443" s="4">
        <f t="shared" si="51"/>
        <v>1122.0299999999997</v>
      </c>
      <c r="O443" s="16">
        <f t="shared" si="52"/>
        <v>0.21507064364207218</v>
      </c>
      <c r="P443" s="19">
        <v>41821</v>
      </c>
      <c r="Q443" s="5">
        <f t="shared" si="53"/>
        <v>7</v>
      </c>
      <c r="R443" s="3" t="str">
        <f t="shared" si="54"/>
        <v>July</v>
      </c>
      <c r="S443" s="6">
        <f t="shared" si="55"/>
        <v>2014</v>
      </c>
    </row>
    <row r="444" spans="1:19" ht="12.75" x14ac:dyDescent="0.2">
      <c r="A444" s="2" t="s">
        <v>24</v>
      </c>
      <c r="B444" s="2" t="str">
        <f t="shared" si="48"/>
        <v>Channel Partners</v>
      </c>
      <c r="C444" s="2" t="s">
        <v>19</v>
      </c>
      <c r="D444" s="2" t="str">
        <f>PROPER(Table1[[#This Row],[Country]])</f>
        <v>Germany</v>
      </c>
      <c r="E444" s="3" t="s">
        <v>17</v>
      </c>
      <c r="F444" s="3" t="s">
        <v>34</v>
      </c>
      <c r="G444" s="13">
        <v>1580</v>
      </c>
      <c r="H444" s="4">
        <v>3</v>
      </c>
      <c r="I444" s="4">
        <v>12</v>
      </c>
      <c r="J444" s="4">
        <f t="shared" si="49"/>
        <v>18960</v>
      </c>
      <c r="K444" s="4">
        <v>1706.4</v>
      </c>
      <c r="L444" s="4">
        <f t="shared" si="50"/>
        <v>17253.599999999999</v>
      </c>
      <c r="M444" s="4">
        <v>4740</v>
      </c>
      <c r="N444" s="4">
        <f t="shared" si="51"/>
        <v>12513.599999999999</v>
      </c>
      <c r="O444" s="16">
        <f t="shared" si="52"/>
        <v>0.72527472527472525</v>
      </c>
      <c r="P444" s="19">
        <v>41883</v>
      </c>
      <c r="Q444" s="5">
        <f t="shared" si="53"/>
        <v>9</v>
      </c>
      <c r="R444" s="3" t="str">
        <f t="shared" si="54"/>
        <v>September</v>
      </c>
      <c r="S444" s="6">
        <f t="shared" si="55"/>
        <v>2014</v>
      </c>
    </row>
    <row r="445" spans="1:19" ht="12.75" x14ac:dyDescent="0.2">
      <c r="A445" s="2" t="s">
        <v>15</v>
      </c>
      <c r="B445" s="2" t="str">
        <f t="shared" si="48"/>
        <v>Government</v>
      </c>
      <c r="C445" s="2" t="s">
        <v>22</v>
      </c>
      <c r="D445" s="2" t="str">
        <f>PROPER(Table1[[#This Row],[Country]])</f>
        <v>Mexico</v>
      </c>
      <c r="E445" s="3" t="s">
        <v>17</v>
      </c>
      <c r="F445" s="3" t="s">
        <v>34</v>
      </c>
      <c r="G445" s="13">
        <v>521</v>
      </c>
      <c r="H445" s="4">
        <v>3</v>
      </c>
      <c r="I445" s="4">
        <v>7</v>
      </c>
      <c r="J445" s="4">
        <f t="shared" si="49"/>
        <v>3647</v>
      </c>
      <c r="K445" s="4">
        <v>328.23</v>
      </c>
      <c r="L445" s="4">
        <f t="shared" si="50"/>
        <v>3318.77</v>
      </c>
      <c r="M445" s="4">
        <v>2605</v>
      </c>
      <c r="N445" s="4">
        <f t="shared" si="51"/>
        <v>713.77</v>
      </c>
      <c r="O445" s="16">
        <f t="shared" si="52"/>
        <v>0.21507064364207221</v>
      </c>
      <c r="P445" s="19">
        <v>41974</v>
      </c>
      <c r="Q445" s="5">
        <f t="shared" si="53"/>
        <v>12</v>
      </c>
      <c r="R445" s="3" t="str">
        <f t="shared" si="54"/>
        <v>December</v>
      </c>
      <c r="S445" s="6">
        <f t="shared" si="55"/>
        <v>2014</v>
      </c>
    </row>
    <row r="446" spans="1:19" ht="12.75" x14ac:dyDescent="0.2">
      <c r="A446" s="2" t="s">
        <v>15</v>
      </c>
      <c r="B446" s="2" t="str">
        <f t="shared" si="48"/>
        <v>Government</v>
      </c>
      <c r="C446" s="2" t="s">
        <v>71</v>
      </c>
      <c r="D446" s="2" t="str">
        <f>PROPER(Table1[[#This Row],[Country]])</f>
        <v>Usa</v>
      </c>
      <c r="E446" s="3" t="s">
        <v>28</v>
      </c>
      <c r="F446" s="3" t="s">
        <v>34</v>
      </c>
      <c r="G446" s="13">
        <v>973</v>
      </c>
      <c r="H446" s="4">
        <v>10</v>
      </c>
      <c r="I446" s="4">
        <v>20</v>
      </c>
      <c r="J446" s="4">
        <f t="shared" si="49"/>
        <v>19460</v>
      </c>
      <c r="K446" s="4">
        <v>1751.4</v>
      </c>
      <c r="L446" s="4">
        <f t="shared" si="50"/>
        <v>17708.599999999999</v>
      </c>
      <c r="M446" s="4">
        <v>9730</v>
      </c>
      <c r="N446" s="4">
        <f t="shared" si="51"/>
        <v>7978.5999999999985</v>
      </c>
      <c r="O446" s="16">
        <f t="shared" si="52"/>
        <v>0.4505494505494505</v>
      </c>
      <c r="P446" s="19">
        <v>41699</v>
      </c>
      <c r="Q446" s="5">
        <f t="shared" si="53"/>
        <v>3</v>
      </c>
      <c r="R446" s="3" t="str">
        <f t="shared" si="54"/>
        <v>March</v>
      </c>
      <c r="S446" s="6">
        <f t="shared" si="55"/>
        <v>2014</v>
      </c>
    </row>
    <row r="447" spans="1:19" ht="12.75" x14ac:dyDescent="0.2">
      <c r="A447" s="2" t="s">
        <v>15</v>
      </c>
      <c r="B447" s="2" t="str">
        <f t="shared" si="48"/>
        <v>Government</v>
      </c>
      <c r="C447" s="2" t="s">
        <v>22</v>
      </c>
      <c r="D447" s="2" t="str">
        <f>PROPER(Table1[[#This Row],[Country]])</f>
        <v>Mexico</v>
      </c>
      <c r="E447" s="3" t="s">
        <v>28</v>
      </c>
      <c r="F447" s="3" t="s">
        <v>34</v>
      </c>
      <c r="G447" s="13">
        <v>1038</v>
      </c>
      <c r="H447" s="4">
        <v>10</v>
      </c>
      <c r="I447" s="4">
        <v>20</v>
      </c>
      <c r="J447" s="4">
        <f t="shared" si="49"/>
        <v>20760</v>
      </c>
      <c r="K447" s="4">
        <v>1868.4</v>
      </c>
      <c r="L447" s="4">
        <f t="shared" si="50"/>
        <v>18891.599999999999</v>
      </c>
      <c r="M447" s="4">
        <v>10380</v>
      </c>
      <c r="N447" s="4">
        <f t="shared" si="51"/>
        <v>8511.5999999999985</v>
      </c>
      <c r="O447" s="16">
        <f t="shared" si="52"/>
        <v>0.4505494505494505</v>
      </c>
      <c r="P447" s="19">
        <v>41791</v>
      </c>
      <c r="Q447" s="5">
        <f t="shared" si="53"/>
        <v>6</v>
      </c>
      <c r="R447" s="3" t="str">
        <f t="shared" si="54"/>
        <v>June</v>
      </c>
      <c r="S447" s="6">
        <f t="shared" si="55"/>
        <v>2014</v>
      </c>
    </row>
    <row r="448" spans="1:19" ht="12.75" x14ac:dyDescent="0.2">
      <c r="A448" s="2" t="s">
        <v>15</v>
      </c>
      <c r="B448" s="2" t="str">
        <f t="shared" si="48"/>
        <v>Government</v>
      </c>
      <c r="C448" s="2" t="s">
        <v>19</v>
      </c>
      <c r="D448" s="2" t="str">
        <f>PROPER(Table1[[#This Row],[Country]])</f>
        <v>Germany</v>
      </c>
      <c r="E448" s="3" t="s">
        <v>28</v>
      </c>
      <c r="F448" s="3" t="s">
        <v>34</v>
      </c>
      <c r="G448" s="13">
        <v>360</v>
      </c>
      <c r="H448" s="4">
        <v>10</v>
      </c>
      <c r="I448" s="4">
        <v>7</v>
      </c>
      <c r="J448" s="4">
        <f t="shared" si="49"/>
        <v>2520</v>
      </c>
      <c r="K448" s="4">
        <v>226.8</v>
      </c>
      <c r="L448" s="4">
        <f t="shared" si="50"/>
        <v>2293.1999999999998</v>
      </c>
      <c r="M448" s="4">
        <v>1800</v>
      </c>
      <c r="N448" s="4">
        <f t="shared" si="51"/>
        <v>493.19999999999982</v>
      </c>
      <c r="O448" s="16">
        <f t="shared" si="52"/>
        <v>0.21507064364207215</v>
      </c>
      <c r="P448" s="19">
        <v>41913</v>
      </c>
      <c r="Q448" s="5">
        <f t="shared" si="53"/>
        <v>10</v>
      </c>
      <c r="R448" s="3" t="str">
        <f t="shared" si="54"/>
        <v>October</v>
      </c>
      <c r="S448" s="6">
        <f t="shared" si="55"/>
        <v>2014</v>
      </c>
    </row>
    <row r="449" spans="1:19" ht="12.75" x14ac:dyDescent="0.2">
      <c r="A449" s="2" t="s">
        <v>24</v>
      </c>
      <c r="B449" s="2" t="str">
        <f t="shared" si="48"/>
        <v>Channel Partners</v>
      </c>
      <c r="C449" s="2" t="s">
        <v>21</v>
      </c>
      <c r="D449" s="2" t="str">
        <f>PROPER(Table1[[#This Row],[Country]])</f>
        <v>France</v>
      </c>
      <c r="E449" s="3" t="s">
        <v>30</v>
      </c>
      <c r="F449" s="3" t="s">
        <v>34</v>
      </c>
      <c r="G449" s="13">
        <v>1967</v>
      </c>
      <c r="H449" s="4">
        <v>120</v>
      </c>
      <c r="I449" s="4">
        <v>12</v>
      </c>
      <c r="J449" s="4">
        <f t="shared" si="49"/>
        <v>23604</v>
      </c>
      <c r="K449" s="4">
        <v>2124.36</v>
      </c>
      <c r="L449" s="4">
        <f t="shared" si="50"/>
        <v>21479.64</v>
      </c>
      <c r="M449" s="4">
        <v>5901</v>
      </c>
      <c r="N449" s="4">
        <f t="shared" si="51"/>
        <v>15578.64</v>
      </c>
      <c r="O449" s="16">
        <f t="shared" si="52"/>
        <v>0.72527472527472525</v>
      </c>
      <c r="P449" s="19">
        <v>41699</v>
      </c>
      <c r="Q449" s="5">
        <f t="shared" si="53"/>
        <v>3</v>
      </c>
      <c r="R449" s="3" t="str">
        <f t="shared" si="54"/>
        <v>March</v>
      </c>
      <c r="S449" s="6">
        <f t="shared" si="55"/>
        <v>2014</v>
      </c>
    </row>
    <row r="450" spans="1:19" ht="12.75" x14ac:dyDescent="0.2">
      <c r="A450" s="2" t="s">
        <v>20</v>
      </c>
      <c r="B450" s="2" t="str">
        <f t="shared" ref="B450:B513" si="56">PROPER(A450)</f>
        <v>Midmarket</v>
      </c>
      <c r="C450" s="2" t="s">
        <v>22</v>
      </c>
      <c r="D450" s="2" t="str">
        <f>PROPER(Table1[[#This Row],[Country]])</f>
        <v>Mexico</v>
      </c>
      <c r="E450" s="3" t="s">
        <v>30</v>
      </c>
      <c r="F450" s="3" t="s">
        <v>34</v>
      </c>
      <c r="G450" s="13">
        <v>2628</v>
      </c>
      <c r="H450" s="4">
        <v>120</v>
      </c>
      <c r="I450" s="4">
        <v>15</v>
      </c>
      <c r="J450" s="4">
        <f t="shared" si="49"/>
        <v>39420</v>
      </c>
      <c r="K450" s="4">
        <v>3547.8</v>
      </c>
      <c r="L450" s="4">
        <f t="shared" si="50"/>
        <v>35872.199999999997</v>
      </c>
      <c r="M450" s="4">
        <v>26280</v>
      </c>
      <c r="N450" s="4">
        <f t="shared" si="51"/>
        <v>9592.1999999999971</v>
      </c>
      <c r="O450" s="16">
        <f t="shared" si="52"/>
        <v>0.26739926739926734</v>
      </c>
      <c r="P450" s="19">
        <v>41730</v>
      </c>
      <c r="Q450" s="5">
        <f t="shared" si="53"/>
        <v>4</v>
      </c>
      <c r="R450" s="3" t="str">
        <f t="shared" si="54"/>
        <v>April</v>
      </c>
      <c r="S450" s="6">
        <f t="shared" si="55"/>
        <v>2014</v>
      </c>
    </row>
    <row r="451" spans="1:19" ht="12.75" x14ac:dyDescent="0.2">
      <c r="A451" s="2" t="s">
        <v>15</v>
      </c>
      <c r="B451" s="2" t="str">
        <f t="shared" si="56"/>
        <v>Government</v>
      </c>
      <c r="C451" s="2" t="s">
        <v>19</v>
      </c>
      <c r="D451" s="2" t="str">
        <f>PROPER(Table1[[#This Row],[Country]])</f>
        <v>Germany</v>
      </c>
      <c r="E451" s="3" t="s">
        <v>31</v>
      </c>
      <c r="F451" s="3" t="s">
        <v>34</v>
      </c>
      <c r="G451" s="13">
        <v>360</v>
      </c>
      <c r="H451" s="4">
        <v>250</v>
      </c>
      <c r="I451" s="4">
        <v>7</v>
      </c>
      <c r="J451" s="4">
        <f t="shared" ref="J451:J514" si="57">G451*I451</f>
        <v>2520</v>
      </c>
      <c r="K451" s="4">
        <v>226.8</v>
      </c>
      <c r="L451" s="4">
        <f t="shared" ref="L451:L514" si="58">J451-K451</f>
        <v>2293.1999999999998</v>
      </c>
      <c r="M451" s="4">
        <v>1800</v>
      </c>
      <c r="N451" s="4">
        <f t="shared" ref="N451:N514" si="59">L451-M451</f>
        <v>493.19999999999982</v>
      </c>
      <c r="O451" s="16">
        <f t="shared" ref="O451:O514" si="60">N451/L451</f>
        <v>0.21507064364207215</v>
      </c>
      <c r="P451" s="19">
        <v>41913</v>
      </c>
      <c r="Q451" s="5">
        <f t="shared" ref="Q451:Q514" si="61">MONTH(P451)</f>
        <v>10</v>
      </c>
      <c r="R451" s="3" t="str">
        <f t="shared" ref="R451:R514" si="62">TEXT(P451,"mmmm")</f>
        <v>October</v>
      </c>
      <c r="S451" s="6">
        <f t="shared" ref="S451:S514" si="63">YEAR(P451)</f>
        <v>2014</v>
      </c>
    </row>
    <row r="452" spans="1:19" ht="12.75" x14ac:dyDescent="0.2">
      <c r="A452" s="2" t="s">
        <v>15</v>
      </c>
      <c r="B452" s="2" t="str">
        <f t="shared" si="56"/>
        <v>Government</v>
      </c>
      <c r="C452" s="2" t="s">
        <v>21</v>
      </c>
      <c r="D452" s="2" t="str">
        <f>PROPER(Table1[[#This Row],[Country]])</f>
        <v>France</v>
      </c>
      <c r="E452" s="3" t="s">
        <v>31</v>
      </c>
      <c r="F452" s="3" t="s">
        <v>34</v>
      </c>
      <c r="G452" s="13">
        <v>2682</v>
      </c>
      <c r="H452" s="4">
        <v>250</v>
      </c>
      <c r="I452" s="4">
        <v>20</v>
      </c>
      <c r="J452" s="4">
        <f t="shared" si="57"/>
        <v>53640</v>
      </c>
      <c r="K452" s="4">
        <v>4827.6000000000004</v>
      </c>
      <c r="L452" s="4">
        <f t="shared" si="58"/>
        <v>48812.4</v>
      </c>
      <c r="M452" s="4">
        <v>26820</v>
      </c>
      <c r="N452" s="4">
        <f t="shared" si="59"/>
        <v>21992.400000000001</v>
      </c>
      <c r="O452" s="16">
        <f t="shared" si="60"/>
        <v>0.45054945054945056</v>
      </c>
      <c r="P452" s="19">
        <v>41579</v>
      </c>
      <c r="Q452" s="5">
        <f t="shared" si="61"/>
        <v>11</v>
      </c>
      <c r="R452" s="3" t="str">
        <f t="shared" si="62"/>
        <v>November</v>
      </c>
      <c r="S452" s="6">
        <f t="shared" si="63"/>
        <v>2013</v>
      </c>
    </row>
    <row r="453" spans="1:19" ht="12.75" x14ac:dyDescent="0.2">
      <c r="A453" s="2" t="s">
        <v>15</v>
      </c>
      <c r="B453" s="2" t="str">
        <f t="shared" si="56"/>
        <v>Government</v>
      </c>
      <c r="C453" s="2" t="s">
        <v>22</v>
      </c>
      <c r="D453" s="2" t="str">
        <f>PROPER(Table1[[#This Row],[Country]])</f>
        <v>Mexico</v>
      </c>
      <c r="E453" s="3" t="s">
        <v>31</v>
      </c>
      <c r="F453" s="3" t="s">
        <v>34</v>
      </c>
      <c r="G453" s="13">
        <v>521</v>
      </c>
      <c r="H453" s="4">
        <v>250</v>
      </c>
      <c r="I453" s="4">
        <v>7</v>
      </c>
      <c r="J453" s="4">
        <f t="shared" si="57"/>
        <v>3647</v>
      </c>
      <c r="K453" s="4">
        <v>328.23</v>
      </c>
      <c r="L453" s="4">
        <f t="shared" si="58"/>
        <v>3318.77</v>
      </c>
      <c r="M453" s="4">
        <v>2605</v>
      </c>
      <c r="N453" s="4">
        <f t="shared" si="59"/>
        <v>713.77</v>
      </c>
      <c r="O453" s="16">
        <f t="shared" si="60"/>
        <v>0.21507064364207221</v>
      </c>
      <c r="P453" s="19">
        <v>41974</v>
      </c>
      <c r="Q453" s="5">
        <f t="shared" si="61"/>
        <v>12</v>
      </c>
      <c r="R453" s="3" t="str">
        <f t="shared" si="62"/>
        <v>December</v>
      </c>
      <c r="S453" s="6">
        <f t="shared" si="63"/>
        <v>2014</v>
      </c>
    </row>
    <row r="454" spans="1:19" ht="12.75" x14ac:dyDescent="0.2">
      <c r="A454" s="2" t="s">
        <v>15</v>
      </c>
      <c r="B454" s="2" t="str">
        <f t="shared" si="56"/>
        <v>Government</v>
      </c>
      <c r="C454" s="2" t="s">
        <v>22</v>
      </c>
      <c r="D454" s="2" t="str">
        <f>PROPER(Table1[[#This Row],[Country]])</f>
        <v>Mexico</v>
      </c>
      <c r="E454" s="3" t="s">
        <v>32</v>
      </c>
      <c r="F454" s="3" t="s">
        <v>34</v>
      </c>
      <c r="G454" s="13">
        <v>1038</v>
      </c>
      <c r="H454" s="4">
        <v>260</v>
      </c>
      <c r="I454" s="4">
        <v>20</v>
      </c>
      <c r="J454" s="4">
        <f t="shared" si="57"/>
        <v>20760</v>
      </c>
      <c r="K454" s="4">
        <v>1868.4</v>
      </c>
      <c r="L454" s="4">
        <f t="shared" si="58"/>
        <v>18891.599999999999</v>
      </c>
      <c r="M454" s="4">
        <v>10380</v>
      </c>
      <c r="N454" s="4">
        <f t="shared" si="59"/>
        <v>8511.5999999999985</v>
      </c>
      <c r="O454" s="16">
        <f t="shared" si="60"/>
        <v>0.4505494505494505</v>
      </c>
      <c r="P454" s="19">
        <v>41791</v>
      </c>
      <c r="Q454" s="5">
        <f t="shared" si="61"/>
        <v>6</v>
      </c>
      <c r="R454" s="3" t="str">
        <f t="shared" si="62"/>
        <v>June</v>
      </c>
      <c r="S454" s="6">
        <f t="shared" si="63"/>
        <v>2014</v>
      </c>
    </row>
    <row r="455" spans="1:19" ht="12.75" x14ac:dyDescent="0.2">
      <c r="A455" s="2" t="s">
        <v>20</v>
      </c>
      <c r="B455" s="2" t="str">
        <f t="shared" si="56"/>
        <v>Midmarket</v>
      </c>
      <c r="C455" s="2" t="s">
        <v>16</v>
      </c>
      <c r="D455" s="2" t="str">
        <f>PROPER(Table1[[#This Row],[Country]])</f>
        <v>Canada</v>
      </c>
      <c r="E455" s="3" t="s">
        <v>32</v>
      </c>
      <c r="F455" s="3" t="s">
        <v>34</v>
      </c>
      <c r="G455" s="13">
        <v>1630.5</v>
      </c>
      <c r="H455" s="4">
        <v>260</v>
      </c>
      <c r="I455" s="4">
        <v>15</v>
      </c>
      <c r="J455" s="4">
        <f t="shared" si="57"/>
        <v>24457.5</v>
      </c>
      <c r="K455" s="4">
        <v>2201.1750000000002</v>
      </c>
      <c r="L455" s="4">
        <f t="shared" si="58"/>
        <v>22256.325000000001</v>
      </c>
      <c r="M455" s="4">
        <v>16305</v>
      </c>
      <c r="N455" s="4">
        <f t="shared" si="59"/>
        <v>5951.3250000000007</v>
      </c>
      <c r="O455" s="16">
        <f t="shared" si="60"/>
        <v>0.26739926739926745</v>
      </c>
      <c r="P455" s="19">
        <v>41821</v>
      </c>
      <c r="Q455" s="5">
        <f t="shared" si="61"/>
        <v>7</v>
      </c>
      <c r="R455" s="3" t="str">
        <f t="shared" si="62"/>
        <v>July</v>
      </c>
      <c r="S455" s="6">
        <f t="shared" si="63"/>
        <v>2014</v>
      </c>
    </row>
    <row r="456" spans="1:19" ht="12.75" x14ac:dyDescent="0.2">
      <c r="A456" s="2" t="s">
        <v>24</v>
      </c>
      <c r="B456" s="2" t="str">
        <f t="shared" si="56"/>
        <v>Channel Partners</v>
      </c>
      <c r="C456" s="2" t="s">
        <v>21</v>
      </c>
      <c r="D456" s="2" t="str">
        <f>PROPER(Table1[[#This Row],[Country]])</f>
        <v>France</v>
      </c>
      <c r="E456" s="3" t="s">
        <v>32</v>
      </c>
      <c r="F456" s="3" t="s">
        <v>34</v>
      </c>
      <c r="G456" s="13">
        <v>306</v>
      </c>
      <c r="H456" s="4">
        <v>260</v>
      </c>
      <c r="I456" s="4">
        <v>12</v>
      </c>
      <c r="J456" s="4">
        <f t="shared" si="57"/>
        <v>3672</v>
      </c>
      <c r="K456" s="4">
        <v>330.48</v>
      </c>
      <c r="L456" s="4">
        <f t="shared" si="58"/>
        <v>3341.52</v>
      </c>
      <c r="M456" s="4">
        <v>918</v>
      </c>
      <c r="N456" s="4">
        <f t="shared" si="59"/>
        <v>2423.52</v>
      </c>
      <c r="O456" s="16">
        <f t="shared" si="60"/>
        <v>0.72527472527472525</v>
      </c>
      <c r="P456" s="19">
        <v>41609</v>
      </c>
      <c r="Q456" s="5">
        <f t="shared" si="61"/>
        <v>12</v>
      </c>
      <c r="R456" s="3" t="str">
        <f t="shared" si="62"/>
        <v>December</v>
      </c>
      <c r="S456" s="6">
        <f t="shared" si="63"/>
        <v>2013</v>
      </c>
    </row>
    <row r="457" spans="1:19" ht="12.75" x14ac:dyDescent="0.2">
      <c r="A457" s="2" t="s">
        <v>24</v>
      </c>
      <c r="B457" s="2" t="str">
        <f t="shared" si="56"/>
        <v>Channel Partners</v>
      </c>
      <c r="C457" s="2" t="s">
        <v>71</v>
      </c>
      <c r="D457" s="2" t="str">
        <f>PROPER(Table1[[#This Row],[Country]])</f>
        <v>Usa</v>
      </c>
      <c r="E457" s="3" t="s">
        <v>17</v>
      </c>
      <c r="F457" s="3" t="s">
        <v>35</v>
      </c>
      <c r="G457" s="13">
        <v>386</v>
      </c>
      <c r="H457" s="4">
        <v>3</v>
      </c>
      <c r="I457" s="4">
        <v>12</v>
      </c>
      <c r="J457" s="4">
        <f t="shared" si="57"/>
        <v>4632</v>
      </c>
      <c r="K457" s="4">
        <v>463.2</v>
      </c>
      <c r="L457" s="4">
        <f t="shared" si="58"/>
        <v>4168.8</v>
      </c>
      <c r="M457" s="4">
        <v>1158</v>
      </c>
      <c r="N457" s="4">
        <f t="shared" si="59"/>
        <v>3010.8</v>
      </c>
      <c r="O457" s="16">
        <f t="shared" si="60"/>
        <v>0.72222222222222221</v>
      </c>
      <c r="P457" s="19">
        <v>41548</v>
      </c>
      <c r="Q457" s="5">
        <f t="shared" si="61"/>
        <v>10</v>
      </c>
      <c r="R457" s="3" t="str">
        <f t="shared" si="62"/>
        <v>October</v>
      </c>
      <c r="S457" s="6">
        <f t="shared" si="63"/>
        <v>2013</v>
      </c>
    </row>
    <row r="458" spans="1:19" ht="12.75" x14ac:dyDescent="0.2">
      <c r="A458" s="2" t="s">
        <v>15</v>
      </c>
      <c r="B458" s="2" t="str">
        <f t="shared" si="56"/>
        <v>Government</v>
      </c>
      <c r="C458" s="2" t="s">
        <v>71</v>
      </c>
      <c r="D458" s="2" t="str">
        <f>PROPER(Table1[[#This Row],[Country]])</f>
        <v>Usa</v>
      </c>
      <c r="E458" s="3" t="s">
        <v>23</v>
      </c>
      <c r="F458" s="3" t="s">
        <v>35</v>
      </c>
      <c r="G458" s="13">
        <v>2328</v>
      </c>
      <c r="H458" s="4">
        <v>5</v>
      </c>
      <c r="I458" s="4">
        <v>7</v>
      </c>
      <c r="J458" s="4">
        <f t="shared" si="57"/>
        <v>16296</v>
      </c>
      <c r="K458" s="4">
        <v>1629.6</v>
      </c>
      <c r="L458" s="4">
        <f t="shared" si="58"/>
        <v>14666.4</v>
      </c>
      <c r="M458" s="4">
        <v>11640</v>
      </c>
      <c r="N458" s="4">
        <f t="shared" si="59"/>
        <v>3026.3999999999996</v>
      </c>
      <c r="O458" s="16">
        <f t="shared" si="60"/>
        <v>0.20634920634920634</v>
      </c>
      <c r="P458" s="19">
        <v>41883</v>
      </c>
      <c r="Q458" s="5">
        <f t="shared" si="61"/>
        <v>9</v>
      </c>
      <c r="R458" s="3" t="str">
        <f t="shared" si="62"/>
        <v>September</v>
      </c>
      <c r="S458" s="6">
        <f t="shared" si="63"/>
        <v>2014</v>
      </c>
    </row>
    <row r="459" spans="1:19" ht="12.75" x14ac:dyDescent="0.2">
      <c r="A459" s="2" t="s">
        <v>24</v>
      </c>
      <c r="B459" s="2" t="str">
        <f t="shared" si="56"/>
        <v>Channel Partners</v>
      </c>
      <c r="C459" s="2" t="s">
        <v>71</v>
      </c>
      <c r="D459" s="2" t="str">
        <f>PROPER(Table1[[#This Row],[Country]])</f>
        <v>Usa</v>
      </c>
      <c r="E459" s="3" t="s">
        <v>28</v>
      </c>
      <c r="F459" s="3" t="s">
        <v>35</v>
      </c>
      <c r="G459" s="13">
        <v>386</v>
      </c>
      <c r="H459" s="4">
        <v>10</v>
      </c>
      <c r="I459" s="4">
        <v>12</v>
      </c>
      <c r="J459" s="4">
        <f t="shared" si="57"/>
        <v>4632</v>
      </c>
      <c r="K459" s="4">
        <v>463.2</v>
      </c>
      <c r="L459" s="4">
        <f t="shared" si="58"/>
        <v>4168.8</v>
      </c>
      <c r="M459" s="4">
        <v>1158</v>
      </c>
      <c r="N459" s="4">
        <f t="shared" si="59"/>
        <v>3010.8</v>
      </c>
      <c r="O459" s="16">
        <f t="shared" si="60"/>
        <v>0.72222222222222221</v>
      </c>
      <c r="P459" s="19">
        <v>41548</v>
      </c>
      <c r="Q459" s="5">
        <f t="shared" si="61"/>
        <v>10</v>
      </c>
      <c r="R459" s="3" t="str">
        <f t="shared" si="62"/>
        <v>October</v>
      </c>
      <c r="S459" s="6">
        <f t="shared" si="63"/>
        <v>2013</v>
      </c>
    </row>
    <row r="460" spans="1:19" ht="12.75" x14ac:dyDescent="0.2">
      <c r="A460" s="2" t="s">
        <v>25</v>
      </c>
      <c r="B460" s="2" t="str">
        <f t="shared" si="56"/>
        <v>Enterprise</v>
      </c>
      <c r="C460" s="2" t="s">
        <v>71</v>
      </c>
      <c r="D460" s="2" t="str">
        <f>PROPER(Table1[[#This Row],[Country]])</f>
        <v>Usa</v>
      </c>
      <c r="E460" s="3" t="s">
        <v>17</v>
      </c>
      <c r="F460" s="3" t="s">
        <v>35</v>
      </c>
      <c r="G460" s="13">
        <v>3445.5</v>
      </c>
      <c r="H460" s="4">
        <v>3</v>
      </c>
      <c r="I460" s="4">
        <v>125</v>
      </c>
      <c r="J460" s="4">
        <f t="shared" si="57"/>
        <v>430687.5</v>
      </c>
      <c r="K460" s="4">
        <v>43068.75</v>
      </c>
      <c r="L460" s="4">
        <f t="shared" si="58"/>
        <v>387618.75</v>
      </c>
      <c r="M460" s="4">
        <v>413460</v>
      </c>
      <c r="N460" s="4">
        <f t="shared" si="59"/>
        <v>-25841.25</v>
      </c>
      <c r="O460" s="16">
        <f t="shared" si="60"/>
        <v>-6.6666666666666666E-2</v>
      </c>
      <c r="P460" s="19">
        <v>41730</v>
      </c>
      <c r="Q460" s="5">
        <f t="shared" si="61"/>
        <v>4</v>
      </c>
      <c r="R460" s="3" t="str">
        <f t="shared" si="62"/>
        <v>April</v>
      </c>
      <c r="S460" s="6">
        <f t="shared" si="63"/>
        <v>2014</v>
      </c>
    </row>
    <row r="461" spans="1:19" ht="12.75" x14ac:dyDescent="0.2">
      <c r="A461" s="2" t="s">
        <v>25</v>
      </c>
      <c r="B461" s="2" t="str">
        <f t="shared" si="56"/>
        <v>Enterprise</v>
      </c>
      <c r="C461" s="2" t="s">
        <v>21</v>
      </c>
      <c r="D461" s="2" t="str">
        <f>PROPER(Table1[[#This Row],[Country]])</f>
        <v>France</v>
      </c>
      <c r="E461" s="3" t="s">
        <v>17</v>
      </c>
      <c r="F461" s="3" t="s">
        <v>35</v>
      </c>
      <c r="G461" s="13">
        <v>1482</v>
      </c>
      <c r="H461" s="4">
        <v>3</v>
      </c>
      <c r="I461" s="4">
        <v>125</v>
      </c>
      <c r="J461" s="4">
        <f t="shared" si="57"/>
        <v>185250</v>
      </c>
      <c r="K461" s="4">
        <v>18525</v>
      </c>
      <c r="L461" s="4">
        <f t="shared" si="58"/>
        <v>166725</v>
      </c>
      <c r="M461" s="4">
        <v>177840</v>
      </c>
      <c r="N461" s="4">
        <f t="shared" si="59"/>
        <v>-11115</v>
      </c>
      <c r="O461" s="16">
        <f t="shared" si="60"/>
        <v>-6.6666666666666666E-2</v>
      </c>
      <c r="P461" s="19">
        <v>41609</v>
      </c>
      <c r="Q461" s="5">
        <f t="shared" si="61"/>
        <v>12</v>
      </c>
      <c r="R461" s="3" t="str">
        <f t="shared" si="62"/>
        <v>December</v>
      </c>
      <c r="S461" s="6">
        <f t="shared" si="63"/>
        <v>2013</v>
      </c>
    </row>
    <row r="462" spans="1:19" ht="12.75" x14ac:dyDescent="0.2">
      <c r="A462" s="2" t="s">
        <v>15</v>
      </c>
      <c r="B462" s="2" t="str">
        <f t="shared" si="56"/>
        <v>Government</v>
      </c>
      <c r="C462" s="2" t="s">
        <v>71</v>
      </c>
      <c r="D462" s="2" t="str">
        <f>PROPER(Table1[[#This Row],[Country]])</f>
        <v>Usa</v>
      </c>
      <c r="E462" s="3" t="s">
        <v>23</v>
      </c>
      <c r="F462" s="3" t="s">
        <v>35</v>
      </c>
      <c r="G462" s="13">
        <v>2313</v>
      </c>
      <c r="H462" s="4">
        <v>5</v>
      </c>
      <c r="I462" s="4">
        <v>350</v>
      </c>
      <c r="J462" s="4">
        <f t="shared" si="57"/>
        <v>809550</v>
      </c>
      <c r="K462" s="4">
        <v>80955</v>
      </c>
      <c r="L462" s="4">
        <f t="shared" si="58"/>
        <v>728595</v>
      </c>
      <c r="M462" s="4">
        <v>601380</v>
      </c>
      <c r="N462" s="4">
        <f t="shared" si="59"/>
        <v>127215</v>
      </c>
      <c r="O462" s="16">
        <f t="shared" si="60"/>
        <v>0.17460317460317459</v>
      </c>
      <c r="P462" s="19">
        <v>41760</v>
      </c>
      <c r="Q462" s="5">
        <f t="shared" si="61"/>
        <v>5</v>
      </c>
      <c r="R462" s="3" t="str">
        <f t="shared" si="62"/>
        <v>May</v>
      </c>
      <c r="S462" s="6">
        <f t="shared" si="63"/>
        <v>2014</v>
      </c>
    </row>
    <row r="463" spans="1:19" ht="12.75" x14ac:dyDescent="0.2">
      <c r="A463" s="2" t="s">
        <v>25</v>
      </c>
      <c r="B463" s="2" t="str">
        <f t="shared" si="56"/>
        <v>Enterprise</v>
      </c>
      <c r="C463" s="2" t="s">
        <v>71</v>
      </c>
      <c r="D463" s="2" t="str">
        <f>PROPER(Table1[[#This Row],[Country]])</f>
        <v>Usa</v>
      </c>
      <c r="E463" s="3" t="s">
        <v>23</v>
      </c>
      <c r="F463" s="3" t="s">
        <v>35</v>
      </c>
      <c r="G463" s="13">
        <v>1804</v>
      </c>
      <c r="H463" s="4">
        <v>5</v>
      </c>
      <c r="I463" s="4">
        <v>125</v>
      </c>
      <c r="J463" s="4">
        <f t="shared" si="57"/>
        <v>225500</v>
      </c>
      <c r="K463" s="4">
        <v>22550</v>
      </c>
      <c r="L463" s="4">
        <f t="shared" si="58"/>
        <v>202950</v>
      </c>
      <c r="M463" s="4">
        <v>216480</v>
      </c>
      <c r="N463" s="4">
        <f t="shared" si="59"/>
        <v>-13530</v>
      </c>
      <c r="O463" s="16">
        <f t="shared" si="60"/>
        <v>-6.6666666666666666E-2</v>
      </c>
      <c r="P463" s="19">
        <v>41579</v>
      </c>
      <c r="Q463" s="5">
        <f t="shared" si="61"/>
        <v>11</v>
      </c>
      <c r="R463" s="3" t="str">
        <f t="shared" si="62"/>
        <v>November</v>
      </c>
      <c r="S463" s="6">
        <f t="shared" si="63"/>
        <v>2013</v>
      </c>
    </row>
    <row r="464" spans="1:19" ht="12.75" x14ac:dyDescent="0.2">
      <c r="A464" s="2" t="s">
        <v>20</v>
      </c>
      <c r="B464" s="2" t="str">
        <f t="shared" si="56"/>
        <v>Midmarket</v>
      </c>
      <c r="C464" s="2" t="s">
        <v>21</v>
      </c>
      <c r="D464" s="2" t="str">
        <f>PROPER(Table1[[#This Row],[Country]])</f>
        <v>France</v>
      </c>
      <c r="E464" s="3" t="s">
        <v>23</v>
      </c>
      <c r="F464" s="3" t="s">
        <v>35</v>
      </c>
      <c r="G464" s="13">
        <v>2072</v>
      </c>
      <c r="H464" s="4">
        <v>5</v>
      </c>
      <c r="I464" s="4">
        <v>15</v>
      </c>
      <c r="J464" s="4">
        <f t="shared" si="57"/>
        <v>31080</v>
      </c>
      <c r="K464" s="4">
        <v>3108</v>
      </c>
      <c r="L464" s="4">
        <f t="shared" si="58"/>
        <v>27972</v>
      </c>
      <c r="M464" s="4">
        <v>20720</v>
      </c>
      <c r="N464" s="4">
        <f t="shared" si="59"/>
        <v>7252</v>
      </c>
      <c r="O464" s="16">
        <f t="shared" si="60"/>
        <v>0.25925925925925924</v>
      </c>
      <c r="P464" s="19">
        <v>41974</v>
      </c>
      <c r="Q464" s="5">
        <f t="shared" si="61"/>
        <v>12</v>
      </c>
      <c r="R464" s="3" t="str">
        <f t="shared" si="62"/>
        <v>December</v>
      </c>
      <c r="S464" s="6">
        <f t="shared" si="63"/>
        <v>2014</v>
      </c>
    </row>
    <row r="465" spans="1:19" ht="12.75" x14ac:dyDescent="0.2">
      <c r="A465" s="2" t="s">
        <v>15</v>
      </c>
      <c r="B465" s="2" t="str">
        <f t="shared" si="56"/>
        <v>Government</v>
      </c>
      <c r="C465" s="2" t="s">
        <v>21</v>
      </c>
      <c r="D465" s="2" t="str">
        <f>PROPER(Table1[[#This Row],[Country]])</f>
        <v>France</v>
      </c>
      <c r="E465" s="3" t="s">
        <v>28</v>
      </c>
      <c r="F465" s="3" t="s">
        <v>35</v>
      </c>
      <c r="G465" s="13">
        <v>1954</v>
      </c>
      <c r="H465" s="4">
        <v>10</v>
      </c>
      <c r="I465" s="4">
        <v>20</v>
      </c>
      <c r="J465" s="4">
        <f t="shared" si="57"/>
        <v>39080</v>
      </c>
      <c r="K465" s="4">
        <v>3908</v>
      </c>
      <c r="L465" s="4">
        <f t="shared" si="58"/>
        <v>35172</v>
      </c>
      <c r="M465" s="4">
        <v>19540</v>
      </c>
      <c r="N465" s="4">
        <f t="shared" si="59"/>
        <v>15632</v>
      </c>
      <c r="O465" s="16">
        <f t="shared" si="60"/>
        <v>0.44444444444444442</v>
      </c>
      <c r="P465" s="19">
        <v>41699</v>
      </c>
      <c r="Q465" s="5">
        <f t="shared" si="61"/>
        <v>3</v>
      </c>
      <c r="R465" s="3" t="str">
        <f t="shared" si="62"/>
        <v>March</v>
      </c>
      <c r="S465" s="6">
        <f t="shared" si="63"/>
        <v>2014</v>
      </c>
    </row>
    <row r="466" spans="1:19" ht="12.75" x14ac:dyDescent="0.2">
      <c r="A466" s="2" t="s">
        <v>29</v>
      </c>
      <c r="B466" s="2" t="str">
        <f t="shared" si="56"/>
        <v>Small Business</v>
      </c>
      <c r="C466" s="2" t="s">
        <v>22</v>
      </c>
      <c r="D466" s="2" t="str">
        <f>PROPER(Table1[[#This Row],[Country]])</f>
        <v>Mexico</v>
      </c>
      <c r="E466" s="3" t="s">
        <v>28</v>
      </c>
      <c r="F466" s="3" t="s">
        <v>35</v>
      </c>
      <c r="G466" s="13">
        <v>591</v>
      </c>
      <c r="H466" s="4">
        <v>10</v>
      </c>
      <c r="I466" s="4">
        <v>300</v>
      </c>
      <c r="J466" s="4">
        <f t="shared" si="57"/>
        <v>177300</v>
      </c>
      <c r="K466" s="4">
        <v>17730</v>
      </c>
      <c r="L466" s="4">
        <f t="shared" si="58"/>
        <v>159570</v>
      </c>
      <c r="M466" s="4">
        <v>147750</v>
      </c>
      <c r="N466" s="4">
        <f t="shared" si="59"/>
        <v>11820</v>
      </c>
      <c r="O466" s="16">
        <f t="shared" si="60"/>
        <v>7.407407407407407E-2</v>
      </c>
      <c r="P466" s="19">
        <v>41760</v>
      </c>
      <c r="Q466" s="5">
        <f t="shared" si="61"/>
        <v>5</v>
      </c>
      <c r="R466" s="3" t="str">
        <f t="shared" si="62"/>
        <v>May</v>
      </c>
      <c r="S466" s="6">
        <f t="shared" si="63"/>
        <v>2014</v>
      </c>
    </row>
    <row r="467" spans="1:19" ht="12.75" x14ac:dyDescent="0.2">
      <c r="A467" s="2" t="s">
        <v>20</v>
      </c>
      <c r="B467" s="2" t="str">
        <f t="shared" si="56"/>
        <v>Midmarket</v>
      </c>
      <c r="C467" s="2" t="s">
        <v>21</v>
      </c>
      <c r="D467" s="2" t="str">
        <f>PROPER(Table1[[#This Row],[Country]])</f>
        <v>France</v>
      </c>
      <c r="E467" s="3" t="s">
        <v>28</v>
      </c>
      <c r="F467" s="3" t="s">
        <v>35</v>
      </c>
      <c r="G467" s="13">
        <v>2167</v>
      </c>
      <c r="H467" s="4">
        <v>10</v>
      </c>
      <c r="I467" s="4">
        <v>15</v>
      </c>
      <c r="J467" s="4">
        <f t="shared" si="57"/>
        <v>32505</v>
      </c>
      <c r="K467" s="4">
        <v>3250.5</v>
      </c>
      <c r="L467" s="4">
        <f t="shared" si="58"/>
        <v>29254.5</v>
      </c>
      <c r="M467" s="4">
        <v>21670</v>
      </c>
      <c r="N467" s="4">
        <f t="shared" si="59"/>
        <v>7584.5</v>
      </c>
      <c r="O467" s="16">
        <f t="shared" si="60"/>
        <v>0.25925925925925924</v>
      </c>
      <c r="P467" s="19">
        <v>41548</v>
      </c>
      <c r="Q467" s="5">
        <f t="shared" si="61"/>
        <v>10</v>
      </c>
      <c r="R467" s="3" t="str">
        <f t="shared" si="62"/>
        <v>October</v>
      </c>
      <c r="S467" s="6">
        <f t="shared" si="63"/>
        <v>2013</v>
      </c>
    </row>
    <row r="468" spans="1:19" ht="12.75" x14ac:dyDescent="0.2">
      <c r="A468" s="2" t="s">
        <v>15</v>
      </c>
      <c r="B468" s="2" t="str">
        <f t="shared" si="56"/>
        <v>Government</v>
      </c>
      <c r="C468" s="2" t="s">
        <v>19</v>
      </c>
      <c r="D468" s="2" t="str">
        <f>PROPER(Table1[[#This Row],[Country]])</f>
        <v>Germany</v>
      </c>
      <c r="E468" s="3" t="s">
        <v>28</v>
      </c>
      <c r="F468" s="3" t="s">
        <v>35</v>
      </c>
      <c r="G468" s="13">
        <v>241</v>
      </c>
      <c r="H468" s="4">
        <v>10</v>
      </c>
      <c r="I468" s="4">
        <v>20</v>
      </c>
      <c r="J468" s="4">
        <f t="shared" si="57"/>
        <v>4820</v>
      </c>
      <c r="K468" s="4">
        <v>482</v>
      </c>
      <c r="L468" s="4">
        <f t="shared" si="58"/>
        <v>4338</v>
      </c>
      <c r="M468" s="4">
        <v>2410</v>
      </c>
      <c r="N468" s="4">
        <f t="shared" si="59"/>
        <v>1928</v>
      </c>
      <c r="O468" s="16">
        <f t="shared" si="60"/>
        <v>0.44444444444444442</v>
      </c>
      <c r="P468" s="19">
        <v>41913</v>
      </c>
      <c r="Q468" s="5">
        <f t="shared" si="61"/>
        <v>10</v>
      </c>
      <c r="R468" s="3" t="str">
        <f t="shared" si="62"/>
        <v>October</v>
      </c>
      <c r="S468" s="6">
        <f t="shared" si="63"/>
        <v>2014</v>
      </c>
    </row>
    <row r="469" spans="1:19" ht="12.75" x14ac:dyDescent="0.2">
      <c r="A469" s="2" t="s">
        <v>20</v>
      </c>
      <c r="B469" s="2" t="str">
        <f t="shared" si="56"/>
        <v>Midmarket</v>
      </c>
      <c r="C469" s="2" t="s">
        <v>19</v>
      </c>
      <c r="D469" s="2" t="str">
        <f>PROPER(Table1[[#This Row],[Country]])</f>
        <v>Germany</v>
      </c>
      <c r="E469" s="3" t="s">
        <v>30</v>
      </c>
      <c r="F469" s="3" t="s">
        <v>35</v>
      </c>
      <c r="G469" s="13">
        <v>681</v>
      </c>
      <c r="H469" s="4">
        <v>120</v>
      </c>
      <c r="I469" s="4">
        <v>15</v>
      </c>
      <c r="J469" s="4">
        <f t="shared" si="57"/>
        <v>10215</v>
      </c>
      <c r="K469" s="4">
        <v>1021.5</v>
      </c>
      <c r="L469" s="4">
        <f t="shared" si="58"/>
        <v>9193.5</v>
      </c>
      <c r="M469" s="4">
        <v>6810</v>
      </c>
      <c r="N469" s="4">
        <f t="shared" si="59"/>
        <v>2383.5</v>
      </c>
      <c r="O469" s="16">
        <f t="shared" si="60"/>
        <v>0.25925925925925924</v>
      </c>
      <c r="P469" s="19">
        <v>41640</v>
      </c>
      <c r="Q469" s="5">
        <f t="shared" si="61"/>
        <v>1</v>
      </c>
      <c r="R469" s="3" t="str">
        <f t="shared" si="62"/>
        <v>January</v>
      </c>
      <c r="S469" s="6">
        <f t="shared" si="63"/>
        <v>2014</v>
      </c>
    </row>
    <row r="470" spans="1:19" ht="12.75" x14ac:dyDescent="0.2">
      <c r="A470" s="2" t="s">
        <v>20</v>
      </c>
      <c r="B470" s="2" t="str">
        <f t="shared" si="56"/>
        <v>Midmarket</v>
      </c>
      <c r="C470" s="2" t="s">
        <v>19</v>
      </c>
      <c r="D470" s="2" t="str">
        <f>PROPER(Table1[[#This Row],[Country]])</f>
        <v>Germany</v>
      </c>
      <c r="E470" s="3" t="s">
        <v>30</v>
      </c>
      <c r="F470" s="3" t="s">
        <v>35</v>
      </c>
      <c r="G470" s="13">
        <v>510</v>
      </c>
      <c r="H470" s="4">
        <v>120</v>
      </c>
      <c r="I470" s="4">
        <v>15</v>
      </c>
      <c r="J470" s="4">
        <f t="shared" si="57"/>
        <v>7650</v>
      </c>
      <c r="K470" s="4">
        <v>765</v>
      </c>
      <c r="L470" s="4">
        <f t="shared" si="58"/>
        <v>6885</v>
      </c>
      <c r="M470" s="4">
        <v>5100</v>
      </c>
      <c r="N470" s="4">
        <f t="shared" si="59"/>
        <v>1785</v>
      </c>
      <c r="O470" s="16">
        <f t="shared" si="60"/>
        <v>0.25925925925925924</v>
      </c>
      <c r="P470" s="19">
        <v>41730</v>
      </c>
      <c r="Q470" s="5">
        <f t="shared" si="61"/>
        <v>4</v>
      </c>
      <c r="R470" s="3" t="str">
        <f t="shared" si="62"/>
        <v>April</v>
      </c>
      <c r="S470" s="6">
        <f t="shared" si="63"/>
        <v>2014</v>
      </c>
    </row>
    <row r="471" spans="1:19" ht="12.75" x14ac:dyDescent="0.2">
      <c r="A471" s="2" t="s">
        <v>20</v>
      </c>
      <c r="B471" s="2" t="str">
        <f t="shared" si="56"/>
        <v>Midmarket</v>
      </c>
      <c r="C471" s="2" t="s">
        <v>71</v>
      </c>
      <c r="D471" s="2" t="str">
        <f>PROPER(Table1[[#This Row],[Country]])</f>
        <v>Usa</v>
      </c>
      <c r="E471" s="3" t="s">
        <v>30</v>
      </c>
      <c r="F471" s="3" t="s">
        <v>35</v>
      </c>
      <c r="G471" s="13">
        <v>790</v>
      </c>
      <c r="H471" s="4">
        <v>120</v>
      </c>
      <c r="I471" s="4">
        <v>15</v>
      </c>
      <c r="J471" s="4">
        <f t="shared" si="57"/>
        <v>11850</v>
      </c>
      <c r="K471" s="4">
        <v>1185</v>
      </c>
      <c r="L471" s="4">
        <f t="shared" si="58"/>
        <v>10665</v>
      </c>
      <c r="M471" s="4">
        <v>7900</v>
      </c>
      <c r="N471" s="4">
        <f t="shared" si="59"/>
        <v>2765</v>
      </c>
      <c r="O471" s="16">
        <f t="shared" si="60"/>
        <v>0.25925925925925924</v>
      </c>
      <c r="P471" s="19">
        <v>41760</v>
      </c>
      <c r="Q471" s="5">
        <f t="shared" si="61"/>
        <v>5</v>
      </c>
      <c r="R471" s="3" t="str">
        <f t="shared" si="62"/>
        <v>May</v>
      </c>
      <c r="S471" s="6">
        <f t="shared" si="63"/>
        <v>2014</v>
      </c>
    </row>
    <row r="472" spans="1:19" ht="12.75" x14ac:dyDescent="0.2">
      <c r="A472" s="2" t="s">
        <v>15</v>
      </c>
      <c r="B472" s="2" t="str">
        <f t="shared" si="56"/>
        <v>Government</v>
      </c>
      <c r="C472" s="2" t="s">
        <v>21</v>
      </c>
      <c r="D472" s="2" t="str">
        <f>PROPER(Table1[[#This Row],[Country]])</f>
        <v>France</v>
      </c>
      <c r="E472" s="3" t="s">
        <v>30</v>
      </c>
      <c r="F472" s="3" t="s">
        <v>35</v>
      </c>
      <c r="G472" s="13">
        <v>639</v>
      </c>
      <c r="H472" s="4">
        <v>120</v>
      </c>
      <c r="I472" s="4">
        <v>350</v>
      </c>
      <c r="J472" s="4">
        <f t="shared" si="57"/>
        <v>223650</v>
      </c>
      <c r="K472" s="4">
        <v>22365</v>
      </c>
      <c r="L472" s="4">
        <f t="shared" si="58"/>
        <v>201285</v>
      </c>
      <c r="M472" s="4">
        <v>166140</v>
      </c>
      <c r="N472" s="4">
        <f t="shared" si="59"/>
        <v>35145</v>
      </c>
      <c r="O472" s="16">
        <f t="shared" si="60"/>
        <v>0.17460317460317459</v>
      </c>
      <c r="P472" s="19">
        <v>41821</v>
      </c>
      <c r="Q472" s="5">
        <f t="shared" si="61"/>
        <v>7</v>
      </c>
      <c r="R472" s="3" t="str">
        <f t="shared" si="62"/>
        <v>July</v>
      </c>
      <c r="S472" s="6">
        <f t="shared" si="63"/>
        <v>2014</v>
      </c>
    </row>
    <row r="473" spans="1:19" ht="12.75" x14ac:dyDescent="0.2">
      <c r="A473" s="2" t="s">
        <v>25</v>
      </c>
      <c r="B473" s="2" t="str">
        <f t="shared" si="56"/>
        <v>Enterprise</v>
      </c>
      <c r="C473" s="2" t="s">
        <v>71</v>
      </c>
      <c r="D473" s="2" t="str">
        <f>PROPER(Table1[[#This Row],[Country]])</f>
        <v>Usa</v>
      </c>
      <c r="E473" s="3" t="s">
        <v>30</v>
      </c>
      <c r="F473" s="3" t="s">
        <v>35</v>
      </c>
      <c r="G473" s="13">
        <v>1596</v>
      </c>
      <c r="H473" s="4">
        <v>120</v>
      </c>
      <c r="I473" s="4">
        <v>125</v>
      </c>
      <c r="J473" s="4">
        <f t="shared" si="57"/>
        <v>199500</v>
      </c>
      <c r="K473" s="4">
        <v>19950</v>
      </c>
      <c r="L473" s="4">
        <f t="shared" si="58"/>
        <v>179550</v>
      </c>
      <c r="M473" s="4">
        <v>191520</v>
      </c>
      <c r="N473" s="4">
        <f t="shared" si="59"/>
        <v>-11970</v>
      </c>
      <c r="O473" s="16">
        <f t="shared" si="60"/>
        <v>-6.6666666666666666E-2</v>
      </c>
      <c r="P473" s="19">
        <v>41883</v>
      </c>
      <c r="Q473" s="5">
        <f t="shared" si="61"/>
        <v>9</v>
      </c>
      <c r="R473" s="3" t="str">
        <f t="shared" si="62"/>
        <v>September</v>
      </c>
      <c r="S473" s="6">
        <f t="shared" si="63"/>
        <v>2014</v>
      </c>
    </row>
    <row r="474" spans="1:19" ht="12.75" x14ac:dyDescent="0.2">
      <c r="A474" s="2" t="s">
        <v>29</v>
      </c>
      <c r="B474" s="2" t="str">
        <f t="shared" si="56"/>
        <v>Small Business</v>
      </c>
      <c r="C474" s="2" t="s">
        <v>71</v>
      </c>
      <c r="D474" s="2" t="str">
        <f>PROPER(Table1[[#This Row],[Country]])</f>
        <v>Usa</v>
      </c>
      <c r="E474" s="3" t="s">
        <v>30</v>
      </c>
      <c r="F474" s="3" t="s">
        <v>35</v>
      </c>
      <c r="G474" s="13">
        <v>2294</v>
      </c>
      <c r="H474" s="4">
        <v>120</v>
      </c>
      <c r="I474" s="4">
        <v>300</v>
      </c>
      <c r="J474" s="4">
        <f t="shared" si="57"/>
        <v>688200</v>
      </c>
      <c r="K474" s="4">
        <v>68820</v>
      </c>
      <c r="L474" s="4">
        <f t="shared" si="58"/>
        <v>619380</v>
      </c>
      <c r="M474" s="4">
        <v>573500</v>
      </c>
      <c r="N474" s="4">
        <f t="shared" si="59"/>
        <v>45880</v>
      </c>
      <c r="O474" s="16">
        <f t="shared" si="60"/>
        <v>7.407407407407407E-2</v>
      </c>
      <c r="P474" s="19">
        <v>41548</v>
      </c>
      <c r="Q474" s="5">
        <f t="shared" si="61"/>
        <v>10</v>
      </c>
      <c r="R474" s="3" t="str">
        <f t="shared" si="62"/>
        <v>October</v>
      </c>
      <c r="S474" s="6">
        <f t="shared" si="63"/>
        <v>2013</v>
      </c>
    </row>
    <row r="475" spans="1:19" ht="12.75" x14ac:dyDescent="0.2">
      <c r="A475" s="2" t="s">
        <v>15</v>
      </c>
      <c r="B475" s="2" t="str">
        <f t="shared" si="56"/>
        <v>Government</v>
      </c>
      <c r="C475" s="2" t="s">
        <v>19</v>
      </c>
      <c r="D475" s="2" t="str">
        <f>PROPER(Table1[[#This Row],[Country]])</f>
        <v>Germany</v>
      </c>
      <c r="E475" s="3" t="s">
        <v>30</v>
      </c>
      <c r="F475" s="3" t="s">
        <v>35</v>
      </c>
      <c r="G475" s="13">
        <v>241</v>
      </c>
      <c r="H475" s="4">
        <v>120</v>
      </c>
      <c r="I475" s="4">
        <v>20</v>
      </c>
      <c r="J475" s="4">
        <f t="shared" si="57"/>
        <v>4820</v>
      </c>
      <c r="K475" s="4">
        <v>482</v>
      </c>
      <c r="L475" s="4">
        <f t="shared" si="58"/>
        <v>4338</v>
      </c>
      <c r="M475" s="4">
        <v>2410</v>
      </c>
      <c r="N475" s="4">
        <f t="shared" si="59"/>
        <v>1928</v>
      </c>
      <c r="O475" s="16">
        <f t="shared" si="60"/>
        <v>0.44444444444444442</v>
      </c>
      <c r="P475" s="19">
        <v>41913</v>
      </c>
      <c r="Q475" s="5">
        <f t="shared" si="61"/>
        <v>10</v>
      </c>
      <c r="R475" s="3" t="str">
        <f t="shared" si="62"/>
        <v>October</v>
      </c>
      <c r="S475" s="6">
        <f t="shared" si="63"/>
        <v>2014</v>
      </c>
    </row>
    <row r="476" spans="1:19" ht="12.75" x14ac:dyDescent="0.2">
      <c r="A476" s="2" t="s">
        <v>15</v>
      </c>
      <c r="B476" s="2" t="str">
        <f t="shared" si="56"/>
        <v>Government</v>
      </c>
      <c r="C476" s="2" t="s">
        <v>19</v>
      </c>
      <c r="D476" s="2" t="str">
        <f>PROPER(Table1[[#This Row],[Country]])</f>
        <v>Germany</v>
      </c>
      <c r="E476" s="3" t="s">
        <v>30</v>
      </c>
      <c r="F476" s="3" t="s">
        <v>35</v>
      </c>
      <c r="G476" s="13">
        <v>2665</v>
      </c>
      <c r="H476" s="4">
        <v>120</v>
      </c>
      <c r="I476" s="4">
        <v>7</v>
      </c>
      <c r="J476" s="4">
        <f t="shared" si="57"/>
        <v>18655</v>
      </c>
      <c r="K476" s="4">
        <v>1865.5</v>
      </c>
      <c r="L476" s="4">
        <f t="shared" si="58"/>
        <v>16789.5</v>
      </c>
      <c r="M476" s="4">
        <v>13325</v>
      </c>
      <c r="N476" s="4">
        <f t="shared" si="59"/>
        <v>3464.5</v>
      </c>
      <c r="O476" s="16">
        <f t="shared" si="60"/>
        <v>0.20634920634920634</v>
      </c>
      <c r="P476" s="19">
        <v>41944</v>
      </c>
      <c r="Q476" s="5">
        <f t="shared" si="61"/>
        <v>11</v>
      </c>
      <c r="R476" s="3" t="str">
        <f t="shared" si="62"/>
        <v>November</v>
      </c>
      <c r="S476" s="6">
        <f t="shared" si="63"/>
        <v>2014</v>
      </c>
    </row>
    <row r="477" spans="1:19" ht="12.75" x14ac:dyDescent="0.2">
      <c r="A477" s="2" t="s">
        <v>25</v>
      </c>
      <c r="B477" s="2" t="str">
        <f t="shared" si="56"/>
        <v>Enterprise</v>
      </c>
      <c r="C477" s="2" t="s">
        <v>16</v>
      </c>
      <c r="D477" s="2" t="str">
        <f>PROPER(Table1[[#This Row],[Country]])</f>
        <v>Canada</v>
      </c>
      <c r="E477" s="3" t="s">
        <v>30</v>
      </c>
      <c r="F477" s="3" t="s">
        <v>35</v>
      </c>
      <c r="G477" s="13">
        <v>1916</v>
      </c>
      <c r="H477" s="4">
        <v>120</v>
      </c>
      <c r="I477" s="4">
        <v>125</v>
      </c>
      <c r="J477" s="4">
        <f t="shared" si="57"/>
        <v>239500</v>
      </c>
      <c r="K477" s="4">
        <v>23950</v>
      </c>
      <c r="L477" s="4">
        <f t="shared" si="58"/>
        <v>215550</v>
      </c>
      <c r="M477" s="4">
        <v>229920</v>
      </c>
      <c r="N477" s="4">
        <f t="shared" si="59"/>
        <v>-14370</v>
      </c>
      <c r="O477" s="16">
        <f t="shared" si="60"/>
        <v>-6.6666666666666666E-2</v>
      </c>
      <c r="P477" s="19">
        <v>41609</v>
      </c>
      <c r="Q477" s="5">
        <f t="shared" si="61"/>
        <v>12</v>
      </c>
      <c r="R477" s="3" t="str">
        <f t="shared" si="62"/>
        <v>December</v>
      </c>
      <c r="S477" s="6">
        <f t="shared" si="63"/>
        <v>2013</v>
      </c>
    </row>
    <row r="478" spans="1:19" ht="12.75" x14ac:dyDescent="0.2">
      <c r="A478" s="2" t="s">
        <v>29</v>
      </c>
      <c r="B478" s="2" t="str">
        <f t="shared" si="56"/>
        <v>Small Business</v>
      </c>
      <c r="C478" s="2" t="s">
        <v>21</v>
      </c>
      <c r="D478" s="2" t="str">
        <f>PROPER(Table1[[#This Row],[Country]])</f>
        <v>France</v>
      </c>
      <c r="E478" s="3" t="s">
        <v>30</v>
      </c>
      <c r="F478" s="3" t="s">
        <v>35</v>
      </c>
      <c r="G478" s="13">
        <v>853</v>
      </c>
      <c r="H478" s="4">
        <v>120</v>
      </c>
      <c r="I478" s="4">
        <v>300</v>
      </c>
      <c r="J478" s="4">
        <f t="shared" si="57"/>
        <v>255900</v>
      </c>
      <c r="K478" s="4">
        <v>25590</v>
      </c>
      <c r="L478" s="4">
        <f t="shared" si="58"/>
        <v>230310</v>
      </c>
      <c r="M478" s="4">
        <v>213250</v>
      </c>
      <c r="N478" s="4">
        <f t="shared" si="59"/>
        <v>17060</v>
      </c>
      <c r="O478" s="16">
        <f t="shared" si="60"/>
        <v>7.407407407407407E-2</v>
      </c>
      <c r="P478" s="19">
        <v>41974</v>
      </c>
      <c r="Q478" s="5">
        <f t="shared" si="61"/>
        <v>12</v>
      </c>
      <c r="R478" s="3" t="str">
        <f t="shared" si="62"/>
        <v>December</v>
      </c>
      <c r="S478" s="6">
        <f t="shared" si="63"/>
        <v>2014</v>
      </c>
    </row>
    <row r="479" spans="1:19" ht="12.75" x14ac:dyDescent="0.2">
      <c r="A479" s="2" t="s">
        <v>25</v>
      </c>
      <c r="B479" s="2" t="str">
        <f t="shared" si="56"/>
        <v>Enterprise</v>
      </c>
      <c r="C479" s="2" t="s">
        <v>22</v>
      </c>
      <c r="D479" s="2" t="str">
        <f>PROPER(Table1[[#This Row],[Country]])</f>
        <v>Mexico</v>
      </c>
      <c r="E479" s="3" t="s">
        <v>31</v>
      </c>
      <c r="F479" s="3" t="s">
        <v>35</v>
      </c>
      <c r="G479" s="13">
        <v>341</v>
      </c>
      <c r="H479" s="4">
        <v>250</v>
      </c>
      <c r="I479" s="4">
        <v>125</v>
      </c>
      <c r="J479" s="4">
        <f t="shared" si="57"/>
        <v>42625</v>
      </c>
      <c r="K479" s="4">
        <v>4262.5</v>
      </c>
      <c r="L479" s="4">
        <f t="shared" si="58"/>
        <v>38362.5</v>
      </c>
      <c r="M479" s="4">
        <v>40920</v>
      </c>
      <c r="N479" s="4">
        <f t="shared" si="59"/>
        <v>-2557.5</v>
      </c>
      <c r="O479" s="16">
        <f t="shared" si="60"/>
        <v>-6.6666666666666666E-2</v>
      </c>
      <c r="P479" s="19">
        <v>41760</v>
      </c>
      <c r="Q479" s="5">
        <f t="shared" si="61"/>
        <v>5</v>
      </c>
      <c r="R479" s="3" t="str">
        <f t="shared" si="62"/>
        <v>May</v>
      </c>
      <c r="S479" s="6">
        <f t="shared" si="63"/>
        <v>2014</v>
      </c>
    </row>
    <row r="480" spans="1:19" ht="12.75" x14ac:dyDescent="0.2">
      <c r="A480" s="2" t="s">
        <v>20</v>
      </c>
      <c r="B480" s="2" t="str">
        <f t="shared" si="56"/>
        <v>Midmarket</v>
      </c>
      <c r="C480" s="2" t="s">
        <v>22</v>
      </c>
      <c r="D480" s="2" t="str">
        <f>PROPER(Table1[[#This Row],[Country]])</f>
        <v>Mexico</v>
      </c>
      <c r="E480" s="3" t="s">
        <v>31</v>
      </c>
      <c r="F480" s="3" t="s">
        <v>35</v>
      </c>
      <c r="G480" s="13">
        <v>641</v>
      </c>
      <c r="H480" s="4">
        <v>250</v>
      </c>
      <c r="I480" s="4">
        <v>15</v>
      </c>
      <c r="J480" s="4">
        <f t="shared" si="57"/>
        <v>9615</v>
      </c>
      <c r="K480" s="4">
        <v>961.5</v>
      </c>
      <c r="L480" s="4">
        <f t="shared" si="58"/>
        <v>8653.5</v>
      </c>
      <c r="M480" s="4">
        <v>6410</v>
      </c>
      <c r="N480" s="4">
        <f t="shared" si="59"/>
        <v>2243.5</v>
      </c>
      <c r="O480" s="16">
        <f t="shared" si="60"/>
        <v>0.25925925925925924</v>
      </c>
      <c r="P480" s="19">
        <v>41821</v>
      </c>
      <c r="Q480" s="5">
        <f t="shared" si="61"/>
        <v>7</v>
      </c>
      <c r="R480" s="3" t="str">
        <f t="shared" si="62"/>
        <v>July</v>
      </c>
      <c r="S480" s="6">
        <f t="shared" si="63"/>
        <v>2014</v>
      </c>
    </row>
    <row r="481" spans="1:19" ht="12.75" x14ac:dyDescent="0.2">
      <c r="A481" s="2" t="s">
        <v>15</v>
      </c>
      <c r="B481" s="2" t="str">
        <f t="shared" si="56"/>
        <v>Government</v>
      </c>
      <c r="C481" s="2" t="s">
        <v>71</v>
      </c>
      <c r="D481" s="2" t="str">
        <f>PROPER(Table1[[#This Row],[Country]])</f>
        <v>Usa</v>
      </c>
      <c r="E481" s="3" t="s">
        <v>31</v>
      </c>
      <c r="F481" s="3" t="s">
        <v>35</v>
      </c>
      <c r="G481" s="13">
        <v>2807</v>
      </c>
      <c r="H481" s="4">
        <v>250</v>
      </c>
      <c r="I481" s="4">
        <v>350</v>
      </c>
      <c r="J481" s="4">
        <f t="shared" si="57"/>
        <v>982450</v>
      </c>
      <c r="K481" s="4">
        <v>98245</v>
      </c>
      <c r="L481" s="4">
        <f t="shared" si="58"/>
        <v>884205</v>
      </c>
      <c r="M481" s="4">
        <v>729820</v>
      </c>
      <c r="N481" s="4">
        <f t="shared" si="59"/>
        <v>154385</v>
      </c>
      <c r="O481" s="16">
        <f t="shared" si="60"/>
        <v>0.17460317460317459</v>
      </c>
      <c r="P481" s="19">
        <v>41852</v>
      </c>
      <c r="Q481" s="5">
        <f t="shared" si="61"/>
        <v>8</v>
      </c>
      <c r="R481" s="3" t="str">
        <f t="shared" si="62"/>
        <v>August</v>
      </c>
      <c r="S481" s="6">
        <f t="shared" si="63"/>
        <v>2014</v>
      </c>
    </row>
    <row r="482" spans="1:19" ht="12.75" x14ac:dyDescent="0.2">
      <c r="A482" s="2" t="s">
        <v>29</v>
      </c>
      <c r="B482" s="2" t="str">
        <f t="shared" si="56"/>
        <v>Small Business</v>
      </c>
      <c r="C482" s="2" t="s">
        <v>22</v>
      </c>
      <c r="D482" s="2" t="str">
        <f>PROPER(Table1[[#This Row],[Country]])</f>
        <v>Mexico</v>
      </c>
      <c r="E482" s="3" t="s">
        <v>31</v>
      </c>
      <c r="F482" s="3" t="s">
        <v>35</v>
      </c>
      <c r="G482" s="13">
        <v>432</v>
      </c>
      <c r="H482" s="4">
        <v>250</v>
      </c>
      <c r="I482" s="4">
        <v>300</v>
      </c>
      <c r="J482" s="4">
        <f t="shared" si="57"/>
        <v>129600</v>
      </c>
      <c r="K482" s="4">
        <v>12960</v>
      </c>
      <c r="L482" s="4">
        <f t="shared" si="58"/>
        <v>116640</v>
      </c>
      <c r="M482" s="4">
        <v>108000</v>
      </c>
      <c r="N482" s="4">
        <f t="shared" si="59"/>
        <v>8640</v>
      </c>
      <c r="O482" s="16">
        <f t="shared" si="60"/>
        <v>7.407407407407407E-2</v>
      </c>
      <c r="P482" s="19">
        <v>41883</v>
      </c>
      <c r="Q482" s="5">
        <f t="shared" si="61"/>
        <v>9</v>
      </c>
      <c r="R482" s="3" t="str">
        <f t="shared" si="62"/>
        <v>September</v>
      </c>
      <c r="S482" s="6">
        <f t="shared" si="63"/>
        <v>2014</v>
      </c>
    </row>
    <row r="483" spans="1:19" ht="12.75" x14ac:dyDescent="0.2">
      <c r="A483" s="2" t="s">
        <v>29</v>
      </c>
      <c r="B483" s="2" t="str">
        <f t="shared" si="56"/>
        <v>Small Business</v>
      </c>
      <c r="C483" s="2" t="s">
        <v>71</v>
      </c>
      <c r="D483" s="2" t="str">
        <f>PROPER(Table1[[#This Row],[Country]])</f>
        <v>Usa</v>
      </c>
      <c r="E483" s="3" t="s">
        <v>31</v>
      </c>
      <c r="F483" s="3" t="s">
        <v>35</v>
      </c>
      <c r="G483" s="13">
        <v>2294</v>
      </c>
      <c r="H483" s="4">
        <v>250</v>
      </c>
      <c r="I483" s="4">
        <v>300</v>
      </c>
      <c r="J483" s="4">
        <f t="shared" si="57"/>
        <v>688200</v>
      </c>
      <c r="K483" s="4">
        <v>68820</v>
      </c>
      <c r="L483" s="4">
        <f t="shared" si="58"/>
        <v>619380</v>
      </c>
      <c r="M483" s="4">
        <v>573500</v>
      </c>
      <c r="N483" s="4">
        <f t="shared" si="59"/>
        <v>45880</v>
      </c>
      <c r="O483" s="16">
        <f t="shared" si="60"/>
        <v>7.407407407407407E-2</v>
      </c>
      <c r="P483" s="19">
        <v>41548</v>
      </c>
      <c r="Q483" s="5">
        <f t="shared" si="61"/>
        <v>10</v>
      </c>
      <c r="R483" s="3" t="str">
        <f t="shared" si="62"/>
        <v>October</v>
      </c>
      <c r="S483" s="6">
        <f t="shared" si="63"/>
        <v>2013</v>
      </c>
    </row>
    <row r="484" spans="1:19" ht="12.75" x14ac:dyDescent="0.2">
      <c r="A484" s="2" t="s">
        <v>20</v>
      </c>
      <c r="B484" s="2" t="str">
        <f t="shared" si="56"/>
        <v>Midmarket</v>
      </c>
      <c r="C484" s="2" t="s">
        <v>21</v>
      </c>
      <c r="D484" s="2" t="str">
        <f>PROPER(Table1[[#This Row],[Country]])</f>
        <v>France</v>
      </c>
      <c r="E484" s="3" t="s">
        <v>31</v>
      </c>
      <c r="F484" s="3" t="s">
        <v>35</v>
      </c>
      <c r="G484" s="13">
        <v>2167</v>
      </c>
      <c r="H484" s="4">
        <v>250</v>
      </c>
      <c r="I484" s="4">
        <v>15</v>
      </c>
      <c r="J484" s="4">
        <f t="shared" si="57"/>
        <v>32505</v>
      </c>
      <c r="K484" s="4">
        <v>3250.5</v>
      </c>
      <c r="L484" s="4">
        <f t="shared" si="58"/>
        <v>29254.5</v>
      </c>
      <c r="M484" s="4">
        <v>21670</v>
      </c>
      <c r="N484" s="4">
        <f t="shared" si="59"/>
        <v>7584.5</v>
      </c>
      <c r="O484" s="16">
        <f t="shared" si="60"/>
        <v>0.25925925925925924</v>
      </c>
      <c r="P484" s="19">
        <v>41548</v>
      </c>
      <c r="Q484" s="5">
        <f t="shared" si="61"/>
        <v>10</v>
      </c>
      <c r="R484" s="3" t="str">
        <f t="shared" si="62"/>
        <v>October</v>
      </c>
      <c r="S484" s="6">
        <f t="shared" si="63"/>
        <v>2013</v>
      </c>
    </row>
    <row r="485" spans="1:19" ht="12.75" x14ac:dyDescent="0.2">
      <c r="A485" s="2" t="s">
        <v>25</v>
      </c>
      <c r="B485" s="2" t="str">
        <f t="shared" si="56"/>
        <v>Enterprise</v>
      </c>
      <c r="C485" s="2" t="s">
        <v>16</v>
      </c>
      <c r="D485" s="2" t="str">
        <f>PROPER(Table1[[#This Row],[Country]])</f>
        <v>Canada</v>
      </c>
      <c r="E485" s="3" t="s">
        <v>31</v>
      </c>
      <c r="F485" s="3" t="s">
        <v>35</v>
      </c>
      <c r="G485" s="13">
        <v>2529</v>
      </c>
      <c r="H485" s="4">
        <v>250</v>
      </c>
      <c r="I485" s="4">
        <v>125</v>
      </c>
      <c r="J485" s="4">
        <f t="shared" si="57"/>
        <v>316125</v>
      </c>
      <c r="K485" s="4">
        <v>31612.5</v>
      </c>
      <c r="L485" s="4">
        <f t="shared" si="58"/>
        <v>284512.5</v>
      </c>
      <c r="M485" s="4">
        <v>303480</v>
      </c>
      <c r="N485" s="4">
        <f t="shared" si="59"/>
        <v>-18967.5</v>
      </c>
      <c r="O485" s="16">
        <f t="shared" si="60"/>
        <v>-6.6666666666666666E-2</v>
      </c>
      <c r="P485" s="19">
        <v>41944</v>
      </c>
      <c r="Q485" s="5">
        <f t="shared" si="61"/>
        <v>11</v>
      </c>
      <c r="R485" s="3" t="str">
        <f t="shared" si="62"/>
        <v>November</v>
      </c>
      <c r="S485" s="6">
        <f t="shared" si="63"/>
        <v>2014</v>
      </c>
    </row>
    <row r="486" spans="1:19" ht="12.75" x14ac:dyDescent="0.2">
      <c r="A486" s="2" t="s">
        <v>15</v>
      </c>
      <c r="B486" s="2" t="str">
        <f t="shared" si="56"/>
        <v>Government</v>
      </c>
      <c r="C486" s="2" t="s">
        <v>19</v>
      </c>
      <c r="D486" s="2" t="str">
        <f>PROPER(Table1[[#This Row],[Country]])</f>
        <v>Germany</v>
      </c>
      <c r="E486" s="3" t="s">
        <v>31</v>
      </c>
      <c r="F486" s="3" t="s">
        <v>35</v>
      </c>
      <c r="G486" s="13">
        <v>1870</v>
      </c>
      <c r="H486" s="4">
        <v>250</v>
      </c>
      <c r="I486" s="4">
        <v>350</v>
      </c>
      <c r="J486" s="4">
        <f t="shared" si="57"/>
        <v>654500</v>
      </c>
      <c r="K486" s="4">
        <v>65450</v>
      </c>
      <c r="L486" s="4">
        <f t="shared" si="58"/>
        <v>589050</v>
      </c>
      <c r="M486" s="4">
        <v>486200</v>
      </c>
      <c r="N486" s="4">
        <f t="shared" si="59"/>
        <v>102850</v>
      </c>
      <c r="O486" s="16">
        <f t="shared" si="60"/>
        <v>0.17460317460317459</v>
      </c>
      <c r="P486" s="19">
        <v>41609</v>
      </c>
      <c r="Q486" s="5">
        <f t="shared" si="61"/>
        <v>12</v>
      </c>
      <c r="R486" s="3" t="str">
        <f t="shared" si="62"/>
        <v>December</v>
      </c>
      <c r="S486" s="6">
        <f t="shared" si="63"/>
        <v>2013</v>
      </c>
    </row>
    <row r="487" spans="1:19" ht="12.75" x14ac:dyDescent="0.2">
      <c r="A487" s="2" t="s">
        <v>25</v>
      </c>
      <c r="B487" s="2" t="str">
        <f t="shared" si="56"/>
        <v>Enterprise</v>
      </c>
      <c r="C487" s="2" t="s">
        <v>71</v>
      </c>
      <c r="D487" s="2" t="str">
        <f>PROPER(Table1[[#This Row],[Country]])</f>
        <v>Usa</v>
      </c>
      <c r="E487" s="3" t="s">
        <v>32</v>
      </c>
      <c r="F487" s="3" t="s">
        <v>35</v>
      </c>
      <c r="G487" s="13">
        <v>579</v>
      </c>
      <c r="H487" s="4">
        <v>260</v>
      </c>
      <c r="I487" s="4">
        <v>125</v>
      </c>
      <c r="J487" s="4">
        <f t="shared" si="57"/>
        <v>72375</v>
      </c>
      <c r="K487" s="4">
        <v>7237.5</v>
      </c>
      <c r="L487" s="4">
        <f t="shared" si="58"/>
        <v>65137.5</v>
      </c>
      <c r="M487" s="4">
        <v>69480</v>
      </c>
      <c r="N487" s="4">
        <f t="shared" si="59"/>
        <v>-4342.5</v>
      </c>
      <c r="O487" s="16">
        <f t="shared" si="60"/>
        <v>-6.6666666666666666E-2</v>
      </c>
      <c r="P487" s="19">
        <v>41640</v>
      </c>
      <c r="Q487" s="5">
        <f t="shared" si="61"/>
        <v>1</v>
      </c>
      <c r="R487" s="3" t="str">
        <f t="shared" si="62"/>
        <v>January</v>
      </c>
      <c r="S487" s="6">
        <f t="shared" si="63"/>
        <v>2014</v>
      </c>
    </row>
    <row r="488" spans="1:19" ht="12.75" x14ac:dyDescent="0.2">
      <c r="A488" s="2" t="s">
        <v>15</v>
      </c>
      <c r="B488" s="2" t="str">
        <f t="shared" si="56"/>
        <v>Government</v>
      </c>
      <c r="C488" s="2" t="s">
        <v>16</v>
      </c>
      <c r="D488" s="2" t="str">
        <f>PROPER(Table1[[#This Row],[Country]])</f>
        <v>Canada</v>
      </c>
      <c r="E488" s="3" t="s">
        <v>32</v>
      </c>
      <c r="F488" s="3" t="s">
        <v>35</v>
      </c>
      <c r="G488" s="13">
        <v>2240</v>
      </c>
      <c r="H488" s="4">
        <v>260</v>
      </c>
      <c r="I488" s="4">
        <v>350</v>
      </c>
      <c r="J488" s="4">
        <f t="shared" si="57"/>
        <v>784000</v>
      </c>
      <c r="K488" s="4">
        <v>78400</v>
      </c>
      <c r="L488" s="4">
        <f t="shared" si="58"/>
        <v>705600</v>
      </c>
      <c r="M488" s="4">
        <v>582400</v>
      </c>
      <c r="N488" s="4">
        <f t="shared" si="59"/>
        <v>123200</v>
      </c>
      <c r="O488" s="16">
        <f t="shared" si="60"/>
        <v>0.17460317460317459</v>
      </c>
      <c r="P488" s="19">
        <v>41671</v>
      </c>
      <c r="Q488" s="5">
        <f t="shared" si="61"/>
        <v>2</v>
      </c>
      <c r="R488" s="3" t="str">
        <f t="shared" si="62"/>
        <v>February</v>
      </c>
      <c r="S488" s="6">
        <f t="shared" si="63"/>
        <v>2014</v>
      </c>
    </row>
    <row r="489" spans="1:19" ht="12.75" x14ac:dyDescent="0.2">
      <c r="A489" s="2" t="s">
        <v>29</v>
      </c>
      <c r="B489" s="2" t="str">
        <f t="shared" si="56"/>
        <v>Small Business</v>
      </c>
      <c r="C489" s="2" t="s">
        <v>71</v>
      </c>
      <c r="D489" s="2" t="str">
        <f>PROPER(Table1[[#This Row],[Country]])</f>
        <v>Usa</v>
      </c>
      <c r="E489" s="3" t="s">
        <v>32</v>
      </c>
      <c r="F489" s="3" t="s">
        <v>35</v>
      </c>
      <c r="G489" s="13">
        <v>2993</v>
      </c>
      <c r="H489" s="4">
        <v>260</v>
      </c>
      <c r="I489" s="4">
        <v>300</v>
      </c>
      <c r="J489" s="4">
        <f t="shared" si="57"/>
        <v>897900</v>
      </c>
      <c r="K489" s="4">
        <v>89790</v>
      </c>
      <c r="L489" s="4">
        <f t="shared" si="58"/>
        <v>808110</v>
      </c>
      <c r="M489" s="4">
        <v>748250</v>
      </c>
      <c r="N489" s="4">
        <f t="shared" si="59"/>
        <v>59860</v>
      </c>
      <c r="O489" s="16">
        <f t="shared" si="60"/>
        <v>7.407407407407407E-2</v>
      </c>
      <c r="P489" s="19">
        <v>41699</v>
      </c>
      <c r="Q489" s="5">
        <f t="shared" si="61"/>
        <v>3</v>
      </c>
      <c r="R489" s="3" t="str">
        <f t="shared" si="62"/>
        <v>March</v>
      </c>
      <c r="S489" s="6">
        <f t="shared" si="63"/>
        <v>2014</v>
      </c>
    </row>
    <row r="490" spans="1:19" ht="12.75" x14ac:dyDescent="0.2">
      <c r="A490" s="2" t="s">
        <v>24</v>
      </c>
      <c r="B490" s="2" t="str">
        <f t="shared" si="56"/>
        <v>Channel Partners</v>
      </c>
      <c r="C490" s="2" t="s">
        <v>16</v>
      </c>
      <c r="D490" s="2" t="str">
        <f>PROPER(Table1[[#This Row],[Country]])</f>
        <v>Canada</v>
      </c>
      <c r="E490" s="3" t="s">
        <v>32</v>
      </c>
      <c r="F490" s="3" t="s">
        <v>35</v>
      </c>
      <c r="G490" s="13">
        <v>3520.5</v>
      </c>
      <c r="H490" s="4">
        <v>260</v>
      </c>
      <c r="I490" s="4">
        <v>12</v>
      </c>
      <c r="J490" s="4">
        <f t="shared" si="57"/>
        <v>42246</v>
      </c>
      <c r="K490" s="4">
        <v>4224.6000000000004</v>
      </c>
      <c r="L490" s="4">
        <f t="shared" si="58"/>
        <v>38021.4</v>
      </c>
      <c r="M490" s="4">
        <v>10561.5</v>
      </c>
      <c r="N490" s="4">
        <f t="shared" si="59"/>
        <v>27459.9</v>
      </c>
      <c r="O490" s="16">
        <f t="shared" si="60"/>
        <v>0.72222222222222221</v>
      </c>
      <c r="P490" s="19">
        <v>41730</v>
      </c>
      <c r="Q490" s="5">
        <f t="shared" si="61"/>
        <v>4</v>
      </c>
      <c r="R490" s="3" t="str">
        <f t="shared" si="62"/>
        <v>April</v>
      </c>
      <c r="S490" s="6">
        <f t="shared" si="63"/>
        <v>2014</v>
      </c>
    </row>
    <row r="491" spans="1:19" ht="12.75" x14ac:dyDescent="0.2">
      <c r="A491" s="2" t="s">
        <v>15</v>
      </c>
      <c r="B491" s="2" t="str">
        <f t="shared" si="56"/>
        <v>Government</v>
      </c>
      <c r="C491" s="2" t="s">
        <v>22</v>
      </c>
      <c r="D491" s="2" t="str">
        <f>PROPER(Table1[[#This Row],[Country]])</f>
        <v>Mexico</v>
      </c>
      <c r="E491" s="3" t="s">
        <v>32</v>
      </c>
      <c r="F491" s="3" t="s">
        <v>35</v>
      </c>
      <c r="G491" s="13">
        <v>2039</v>
      </c>
      <c r="H491" s="4">
        <v>260</v>
      </c>
      <c r="I491" s="4">
        <v>20</v>
      </c>
      <c r="J491" s="4">
        <f t="shared" si="57"/>
        <v>40780</v>
      </c>
      <c r="K491" s="4">
        <v>4078</v>
      </c>
      <c r="L491" s="4">
        <f t="shared" si="58"/>
        <v>36702</v>
      </c>
      <c r="M491" s="4">
        <v>20390</v>
      </c>
      <c r="N491" s="4">
        <f t="shared" si="59"/>
        <v>16312</v>
      </c>
      <c r="O491" s="16">
        <f t="shared" si="60"/>
        <v>0.44444444444444442</v>
      </c>
      <c r="P491" s="19">
        <v>41760</v>
      </c>
      <c r="Q491" s="5">
        <f t="shared" si="61"/>
        <v>5</v>
      </c>
      <c r="R491" s="3" t="str">
        <f t="shared" si="62"/>
        <v>May</v>
      </c>
      <c r="S491" s="6">
        <f t="shared" si="63"/>
        <v>2014</v>
      </c>
    </row>
    <row r="492" spans="1:19" ht="12.75" x14ac:dyDescent="0.2">
      <c r="A492" s="2" t="s">
        <v>24</v>
      </c>
      <c r="B492" s="2" t="str">
        <f t="shared" si="56"/>
        <v>Channel Partners</v>
      </c>
      <c r="C492" s="2" t="s">
        <v>19</v>
      </c>
      <c r="D492" s="2" t="str">
        <f>PROPER(Table1[[#This Row],[Country]])</f>
        <v>Germany</v>
      </c>
      <c r="E492" s="3" t="s">
        <v>32</v>
      </c>
      <c r="F492" s="3" t="s">
        <v>35</v>
      </c>
      <c r="G492" s="13">
        <v>2574</v>
      </c>
      <c r="H492" s="4">
        <v>260</v>
      </c>
      <c r="I492" s="4">
        <v>12</v>
      </c>
      <c r="J492" s="4">
        <f t="shared" si="57"/>
        <v>30888</v>
      </c>
      <c r="K492" s="4">
        <v>3088.8</v>
      </c>
      <c r="L492" s="4">
        <f t="shared" si="58"/>
        <v>27799.200000000001</v>
      </c>
      <c r="M492" s="4">
        <v>7722</v>
      </c>
      <c r="N492" s="4">
        <f t="shared" si="59"/>
        <v>20077.2</v>
      </c>
      <c r="O492" s="16">
        <f t="shared" si="60"/>
        <v>0.72222222222222221</v>
      </c>
      <c r="P492" s="19">
        <v>41852</v>
      </c>
      <c r="Q492" s="5">
        <f t="shared" si="61"/>
        <v>8</v>
      </c>
      <c r="R492" s="3" t="str">
        <f t="shared" si="62"/>
        <v>August</v>
      </c>
      <c r="S492" s="6">
        <f t="shared" si="63"/>
        <v>2014</v>
      </c>
    </row>
    <row r="493" spans="1:19" ht="12.75" x14ac:dyDescent="0.2">
      <c r="A493" s="2" t="s">
        <v>15</v>
      </c>
      <c r="B493" s="2" t="str">
        <f t="shared" si="56"/>
        <v>Government</v>
      </c>
      <c r="C493" s="2" t="s">
        <v>16</v>
      </c>
      <c r="D493" s="2" t="str">
        <f>PROPER(Table1[[#This Row],[Country]])</f>
        <v>Canada</v>
      </c>
      <c r="E493" s="3" t="s">
        <v>32</v>
      </c>
      <c r="F493" s="3" t="s">
        <v>35</v>
      </c>
      <c r="G493" s="13">
        <v>707</v>
      </c>
      <c r="H493" s="4">
        <v>260</v>
      </c>
      <c r="I493" s="4">
        <v>350</v>
      </c>
      <c r="J493" s="4">
        <f t="shared" si="57"/>
        <v>247450</v>
      </c>
      <c r="K493" s="4">
        <v>24745</v>
      </c>
      <c r="L493" s="4">
        <f t="shared" si="58"/>
        <v>222705</v>
      </c>
      <c r="M493" s="4">
        <v>183820</v>
      </c>
      <c r="N493" s="4">
        <f t="shared" si="59"/>
        <v>38885</v>
      </c>
      <c r="O493" s="16">
        <f t="shared" si="60"/>
        <v>0.17460317460317459</v>
      </c>
      <c r="P493" s="19">
        <v>41883</v>
      </c>
      <c r="Q493" s="5">
        <f t="shared" si="61"/>
        <v>9</v>
      </c>
      <c r="R493" s="3" t="str">
        <f t="shared" si="62"/>
        <v>September</v>
      </c>
      <c r="S493" s="6">
        <f t="shared" si="63"/>
        <v>2014</v>
      </c>
    </row>
    <row r="494" spans="1:19" ht="12.75" x14ac:dyDescent="0.2">
      <c r="A494" s="2" t="s">
        <v>20</v>
      </c>
      <c r="B494" s="2" t="str">
        <f t="shared" si="56"/>
        <v>Midmarket</v>
      </c>
      <c r="C494" s="2" t="s">
        <v>21</v>
      </c>
      <c r="D494" s="2" t="str">
        <f>PROPER(Table1[[#This Row],[Country]])</f>
        <v>France</v>
      </c>
      <c r="E494" s="3" t="s">
        <v>32</v>
      </c>
      <c r="F494" s="3" t="s">
        <v>35</v>
      </c>
      <c r="G494" s="13">
        <v>2072</v>
      </c>
      <c r="H494" s="4">
        <v>260</v>
      </c>
      <c r="I494" s="4">
        <v>15</v>
      </c>
      <c r="J494" s="4">
        <f t="shared" si="57"/>
        <v>31080</v>
      </c>
      <c r="K494" s="4">
        <v>3108</v>
      </c>
      <c r="L494" s="4">
        <f t="shared" si="58"/>
        <v>27972</v>
      </c>
      <c r="M494" s="4">
        <v>20720</v>
      </c>
      <c r="N494" s="4">
        <f t="shared" si="59"/>
        <v>7252</v>
      </c>
      <c r="O494" s="16">
        <f t="shared" si="60"/>
        <v>0.25925925925925924</v>
      </c>
      <c r="P494" s="19">
        <v>41974</v>
      </c>
      <c r="Q494" s="5">
        <f t="shared" si="61"/>
        <v>12</v>
      </c>
      <c r="R494" s="3" t="str">
        <f t="shared" si="62"/>
        <v>December</v>
      </c>
      <c r="S494" s="6">
        <f t="shared" si="63"/>
        <v>2014</v>
      </c>
    </row>
    <row r="495" spans="1:19" ht="12.75" x14ac:dyDescent="0.2">
      <c r="A495" s="2" t="s">
        <v>29</v>
      </c>
      <c r="B495" s="2" t="str">
        <f t="shared" si="56"/>
        <v>Small Business</v>
      </c>
      <c r="C495" s="2" t="s">
        <v>21</v>
      </c>
      <c r="D495" s="2" t="str">
        <f>PROPER(Table1[[#This Row],[Country]])</f>
        <v>France</v>
      </c>
      <c r="E495" s="3" t="s">
        <v>32</v>
      </c>
      <c r="F495" s="3" t="s">
        <v>35</v>
      </c>
      <c r="G495" s="13">
        <v>853</v>
      </c>
      <c r="H495" s="4">
        <v>260</v>
      </c>
      <c r="I495" s="4">
        <v>300</v>
      </c>
      <c r="J495" s="4">
        <f t="shared" si="57"/>
        <v>255900</v>
      </c>
      <c r="K495" s="4">
        <v>25590</v>
      </c>
      <c r="L495" s="4">
        <f t="shared" si="58"/>
        <v>230310</v>
      </c>
      <c r="M495" s="4">
        <v>213250</v>
      </c>
      <c r="N495" s="4">
        <f t="shared" si="59"/>
        <v>17060</v>
      </c>
      <c r="O495" s="16">
        <f t="shared" si="60"/>
        <v>7.407407407407407E-2</v>
      </c>
      <c r="P495" s="19">
        <v>41974</v>
      </c>
      <c r="Q495" s="5">
        <f t="shared" si="61"/>
        <v>12</v>
      </c>
      <c r="R495" s="3" t="str">
        <f t="shared" si="62"/>
        <v>December</v>
      </c>
      <c r="S495" s="6">
        <f t="shared" si="63"/>
        <v>2014</v>
      </c>
    </row>
    <row r="496" spans="1:19" ht="12.75" x14ac:dyDescent="0.2">
      <c r="A496" s="2" t="s">
        <v>24</v>
      </c>
      <c r="B496" s="2" t="str">
        <f t="shared" si="56"/>
        <v>Channel Partners</v>
      </c>
      <c r="C496" s="2" t="s">
        <v>21</v>
      </c>
      <c r="D496" s="2" t="str">
        <f>PROPER(Table1[[#This Row],[Country]])</f>
        <v>France</v>
      </c>
      <c r="E496" s="3" t="s">
        <v>17</v>
      </c>
      <c r="F496" s="3" t="s">
        <v>35</v>
      </c>
      <c r="G496" s="13">
        <v>1198</v>
      </c>
      <c r="H496" s="4">
        <v>3</v>
      </c>
      <c r="I496" s="4">
        <v>12</v>
      </c>
      <c r="J496" s="4">
        <f t="shared" si="57"/>
        <v>14376</v>
      </c>
      <c r="K496" s="4">
        <v>1581.36</v>
      </c>
      <c r="L496" s="4">
        <f t="shared" si="58"/>
        <v>12794.64</v>
      </c>
      <c r="M496" s="4">
        <v>3594</v>
      </c>
      <c r="N496" s="4">
        <f t="shared" si="59"/>
        <v>9200.64</v>
      </c>
      <c r="O496" s="16">
        <f t="shared" si="60"/>
        <v>0.7191011235955056</v>
      </c>
      <c r="P496" s="19">
        <v>41548</v>
      </c>
      <c r="Q496" s="5">
        <f t="shared" si="61"/>
        <v>10</v>
      </c>
      <c r="R496" s="3" t="str">
        <f t="shared" si="62"/>
        <v>October</v>
      </c>
      <c r="S496" s="6">
        <f t="shared" si="63"/>
        <v>2013</v>
      </c>
    </row>
    <row r="497" spans="1:19" ht="12.75" x14ac:dyDescent="0.2">
      <c r="A497" s="2" t="s">
        <v>15</v>
      </c>
      <c r="B497" s="2" t="str">
        <f t="shared" si="56"/>
        <v>Government</v>
      </c>
      <c r="C497" s="2" t="s">
        <v>21</v>
      </c>
      <c r="D497" s="2" t="str">
        <f>PROPER(Table1[[#This Row],[Country]])</f>
        <v>France</v>
      </c>
      <c r="E497" s="3" t="s">
        <v>28</v>
      </c>
      <c r="F497" s="3" t="s">
        <v>35</v>
      </c>
      <c r="G497" s="13">
        <v>2532</v>
      </c>
      <c r="H497" s="4">
        <v>10</v>
      </c>
      <c r="I497" s="4">
        <v>7</v>
      </c>
      <c r="J497" s="4">
        <f t="shared" si="57"/>
        <v>17724</v>
      </c>
      <c r="K497" s="4">
        <v>1949.6399999999999</v>
      </c>
      <c r="L497" s="4">
        <f t="shared" si="58"/>
        <v>15774.36</v>
      </c>
      <c r="M497" s="4">
        <v>12660</v>
      </c>
      <c r="N497" s="4">
        <f t="shared" si="59"/>
        <v>3114.3600000000006</v>
      </c>
      <c r="O497" s="16">
        <f t="shared" si="60"/>
        <v>0.19743178170144465</v>
      </c>
      <c r="P497" s="19">
        <v>41730</v>
      </c>
      <c r="Q497" s="5">
        <f t="shared" si="61"/>
        <v>4</v>
      </c>
      <c r="R497" s="3" t="str">
        <f t="shared" si="62"/>
        <v>April</v>
      </c>
      <c r="S497" s="6">
        <f t="shared" si="63"/>
        <v>2014</v>
      </c>
    </row>
    <row r="498" spans="1:19" ht="12.75" x14ac:dyDescent="0.2">
      <c r="A498" s="2" t="s">
        <v>24</v>
      </c>
      <c r="B498" s="2" t="str">
        <f t="shared" si="56"/>
        <v>Channel Partners</v>
      </c>
      <c r="C498" s="2" t="s">
        <v>21</v>
      </c>
      <c r="D498" s="2" t="str">
        <f>PROPER(Table1[[#This Row],[Country]])</f>
        <v>France</v>
      </c>
      <c r="E498" s="3" t="s">
        <v>28</v>
      </c>
      <c r="F498" s="3" t="s">
        <v>35</v>
      </c>
      <c r="G498" s="13">
        <v>1198</v>
      </c>
      <c r="H498" s="4">
        <v>10</v>
      </c>
      <c r="I498" s="4">
        <v>12</v>
      </c>
      <c r="J498" s="4">
        <f t="shared" si="57"/>
        <v>14376</v>
      </c>
      <c r="K498" s="4">
        <v>1581.36</v>
      </c>
      <c r="L498" s="4">
        <f t="shared" si="58"/>
        <v>12794.64</v>
      </c>
      <c r="M498" s="4">
        <v>3594</v>
      </c>
      <c r="N498" s="4">
        <f t="shared" si="59"/>
        <v>9200.64</v>
      </c>
      <c r="O498" s="16">
        <f t="shared" si="60"/>
        <v>0.7191011235955056</v>
      </c>
      <c r="P498" s="19">
        <v>41548</v>
      </c>
      <c r="Q498" s="5">
        <f t="shared" si="61"/>
        <v>10</v>
      </c>
      <c r="R498" s="3" t="str">
        <f t="shared" si="62"/>
        <v>October</v>
      </c>
      <c r="S498" s="6">
        <f t="shared" si="63"/>
        <v>2013</v>
      </c>
    </row>
    <row r="499" spans="1:19" ht="12.75" x14ac:dyDescent="0.2">
      <c r="A499" s="2" t="s">
        <v>20</v>
      </c>
      <c r="B499" s="2" t="str">
        <f t="shared" si="56"/>
        <v>Midmarket</v>
      </c>
      <c r="C499" s="2" t="s">
        <v>16</v>
      </c>
      <c r="D499" s="2" t="str">
        <f>PROPER(Table1[[#This Row],[Country]])</f>
        <v>Canada</v>
      </c>
      <c r="E499" s="3" t="s">
        <v>30</v>
      </c>
      <c r="F499" s="3" t="s">
        <v>35</v>
      </c>
      <c r="G499" s="13">
        <v>384</v>
      </c>
      <c r="H499" s="4">
        <v>120</v>
      </c>
      <c r="I499" s="4">
        <v>15</v>
      </c>
      <c r="J499" s="4">
        <f t="shared" si="57"/>
        <v>5760</v>
      </c>
      <c r="K499" s="4">
        <v>633.59999999999991</v>
      </c>
      <c r="L499" s="4">
        <f t="shared" si="58"/>
        <v>5126.3999999999996</v>
      </c>
      <c r="M499" s="4">
        <v>3840</v>
      </c>
      <c r="N499" s="4">
        <f t="shared" si="59"/>
        <v>1286.3999999999996</v>
      </c>
      <c r="O499" s="16">
        <f t="shared" si="60"/>
        <v>0.25093632958801493</v>
      </c>
      <c r="P499" s="19">
        <v>41640</v>
      </c>
      <c r="Q499" s="5">
        <f t="shared" si="61"/>
        <v>1</v>
      </c>
      <c r="R499" s="3" t="str">
        <f t="shared" si="62"/>
        <v>January</v>
      </c>
      <c r="S499" s="6">
        <f t="shared" si="63"/>
        <v>2014</v>
      </c>
    </row>
    <row r="500" spans="1:19" ht="12.75" x14ac:dyDescent="0.2">
      <c r="A500" s="2" t="s">
        <v>24</v>
      </c>
      <c r="B500" s="2" t="str">
        <f t="shared" si="56"/>
        <v>Channel Partners</v>
      </c>
      <c r="C500" s="2" t="s">
        <v>19</v>
      </c>
      <c r="D500" s="2" t="str">
        <f>PROPER(Table1[[#This Row],[Country]])</f>
        <v>Germany</v>
      </c>
      <c r="E500" s="3" t="s">
        <v>30</v>
      </c>
      <c r="F500" s="3" t="s">
        <v>35</v>
      </c>
      <c r="G500" s="13">
        <v>472</v>
      </c>
      <c r="H500" s="4">
        <v>120</v>
      </c>
      <c r="I500" s="4">
        <v>12</v>
      </c>
      <c r="J500" s="4">
        <f t="shared" si="57"/>
        <v>5664</v>
      </c>
      <c r="K500" s="4">
        <v>623.04</v>
      </c>
      <c r="L500" s="4">
        <f t="shared" si="58"/>
        <v>5040.96</v>
      </c>
      <c r="M500" s="4">
        <v>1416</v>
      </c>
      <c r="N500" s="4">
        <f t="shared" si="59"/>
        <v>3624.96</v>
      </c>
      <c r="O500" s="16">
        <f t="shared" si="60"/>
        <v>0.7191011235955056</v>
      </c>
      <c r="P500" s="19">
        <v>41913</v>
      </c>
      <c r="Q500" s="5">
        <f t="shared" si="61"/>
        <v>10</v>
      </c>
      <c r="R500" s="3" t="str">
        <f t="shared" si="62"/>
        <v>October</v>
      </c>
      <c r="S500" s="6">
        <f t="shared" si="63"/>
        <v>2014</v>
      </c>
    </row>
    <row r="501" spans="1:19" ht="12.75" x14ac:dyDescent="0.2">
      <c r="A501" s="2" t="s">
        <v>15</v>
      </c>
      <c r="B501" s="2" t="str">
        <f t="shared" si="56"/>
        <v>Government</v>
      </c>
      <c r="C501" s="2" t="s">
        <v>71</v>
      </c>
      <c r="D501" s="2" t="str">
        <f>PROPER(Table1[[#This Row],[Country]])</f>
        <v>Usa</v>
      </c>
      <c r="E501" s="3" t="s">
        <v>31</v>
      </c>
      <c r="F501" s="3" t="s">
        <v>35</v>
      </c>
      <c r="G501" s="13">
        <v>1579</v>
      </c>
      <c r="H501" s="4">
        <v>250</v>
      </c>
      <c r="I501" s="4">
        <v>7</v>
      </c>
      <c r="J501" s="4">
        <f t="shared" si="57"/>
        <v>11053</v>
      </c>
      <c r="K501" s="4">
        <v>1215.83</v>
      </c>
      <c r="L501" s="4">
        <f t="shared" si="58"/>
        <v>9837.17</v>
      </c>
      <c r="M501" s="4">
        <v>7895</v>
      </c>
      <c r="N501" s="4">
        <f t="shared" si="59"/>
        <v>1942.17</v>
      </c>
      <c r="O501" s="16">
        <f t="shared" si="60"/>
        <v>0.19743178170144463</v>
      </c>
      <c r="P501" s="19">
        <v>41699</v>
      </c>
      <c r="Q501" s="5">
        <f t="shared" si="61"/>
        <v>3</v>
      </c>
      <c r="R501" s="3" t="str">
        <f t="shared" si="62"/>
        <v>March</v>
      </c>
      <c r="S501" s="6">
        <f t="shared" si="63"/>
        <v>2014</v>
      </c>
    </row>
    <row r="502" spans="1:19" ht="12.75" x14ac:dyDescent="0.2">
      <c r="A502" s="2" t="s">
        <v>24</v>
      </c>
      <c r="B502" s="2" t="str">
        <f t="shared" si="56"/>
        <v>Channel Partners</v>
      </c>
      <c r="C502" s="2" t="s">
        <v>22</v>
      </c>
      <c r="D502" s="2" t="str">
        <f>PROPER(Table1[[#This Row],[Country]])</f>
        <v>Mexico</v>
      </c>
      <c r="E502" s="3" t="s">
        <v>31</v>
      </c>
      <c r="F502" s="3" t="s">
        <v>35</v>
      </c>
      <c r="G502" s="13">
        <v>1005</v>
      </c>
      <c r="H502" s="4">
        <v>250</v>
      </c>
      <c r="I502" s="4">
        <v>12</v>
      </c>
      <c r="J502" s="4">
        <f t="shared" si="57"/>
        <v>12060</v>
      </c>
      <c r="K502" s="4">
        <v>1326.6</v>
      </c>
      <c r="L502" s="4">
        <f t="shared" si="58"/>
        <v>10733.4</v>
      </c>
      <c r="M502" s="4">
        <v>3015</v>
      </c>
      <c r="N502" s="4">
        <f t="shared" si="59"/>
        <v>7718.4</v>
      </c>
      <c r="O502" s="16">
        <f t="shared" si="60"/>
        <v>0.7191011235955056</v>
      </c>
      <c r="P502" s="19">
        <v>41518</v>
      </c>
      <c r="Q502" s="5">
        <f t="shared" si="61"/>
        <v>9</v>
      </c>
      <c r="R502" s="3" t="str">
        <f t="shared" si="62"/>
        <v>September</v>
      </c>
      <c r="S502" s="6">
        <f t="shared" si="63"/>
        <v>2013</v>
      </c>
    </row>
    <row r="503" spans="1:19" ht="12.75" x14ac:dyDescent="0.2">
      <c r="A503" s="2" t="s">
        <v>20</v>
      </c>
      <c r="B503" s="2" t="str">
        <f t="shared" si="56"/>
        <v>Midmarket</v>
      </c>
      <c r="C503" s="2" t="s">
        <v>71</v>
      </c>
      <c r="D503" s="2" t="str">
        <f>PROPER(Table1[[#This Row],[Country]])</f>
        <v>Usa</v>
      </c>
      <c r="E503" s="3" t="s">
        <v>32</v>
      </c>
      <c r="F503" s="3" t="s">
        <v>35</v>
      </c>
      <c r="G503" s="13">
        <v>3199.5</v>
      </c>
      <c r="H503" s="4">
        <v>260</v>
      </c>
      <c r="I503" s="4">
        <v>15</v>
      </c>
      <c r="J503" s="4">
        <f t="shared" si="57"/>
        <v>47992.5</v>
      </c>
      <c r="K503" s="4">
        <v>5279.1749999999993</v>
      </c>
      <c r="L503" s="4">
        <f t="shared" si="58"/>
        <v>42713.324999999997</v>
      </c>
      <c r="M503" s="4">
        <v>31995</v>
      </c>
      <c r="N503" s="4">
        <f t="shared" si="59"/>
        <v>10718.324999999997</v>
      </c>
      <c r="O503" s="16">
        <f t="shared" si="60"/>
        <v>0.25093632958801493</v>
      </c>
      <c r="P503" s="19">
        <v>41821</v>
      </c>
      <c r="Q503" s="5">
        <f t="shared" si="61"/>
        <v>7</v>
      </c>
      <c r="R503" s="3" t="str">
        <f t="shared" si="62"/>
        <v>July</v>
      </c>
      <c r="S503" s="6">
        <f t="shared" si="63"/>
        <v>2014</v>
      </c>
    </row>
    <row r="504" spans="1:19" ht="12.75" x14ac:dyDescent="0.2">
      <c r="A504" s="2" t="s">
        <v>24</v>
      </c>
      <c r="B504" s="2" t="str">
        <f t="shared" si="56"/>
        <v>Channel Partners</v>
      </c>
      <c r="C504" s="2" t="s">
        <v>19</v>
      </c>
      <c r="D504" s="2" t="str">
        <f>PROPER(Table1[[#This Row],[Country]])</f>
        <v>Germany</v>
      </c>
      <c r="E504" s="3" t="s">
        <v>32</v>
      </c>
      <c r="F504" s="3" t="s">
        <v>35</v>
      </c>
      <c r="G504" s="13">
        <v>472</v>
      </c>
      <c r="H504" s="4">
        <v>260</v>
      </c>
      <c r="I504" s="4">
        <v>12</v>
      </c>
      <c r="J504" s="4">
        <f t="shared" si="57"/>
        <v>5664</v>
      </c>
      <c r="K504" s="4">
        <v>623.04</v>
      </c>
      <c r="L504" s="4">
        <f t="shared" si="58"/>
        <v>5040.96</v>
      </c>
      <c r="M504" s="4">
        <v>1416</v>
      </c>
      <c r="N504" s="4">
        <f t="shared" si="59"/>
        <v>3624.96</v>
      </c>
      <c r="O504" s="16">
        <f t="shared" si="60"/>
        <v>0.7191011235955056</v>
      </c>
      <c r="P504" s="19">
        <v>41913</v>
      </c>
      <c r="Q504" s="5">
        <f t="shared" si="61"/>
        <v>10</v>
      </c>
      <c r="R504" s="3" t="str">
        <f t="shared" si="62"/>
        <v>October</v>
      </c>
      <c r="S504" s="6">
        <f t="shared" si="63"/>
        <v>2014</v>
      </c>
    </row>
    <row r="505" spans="1:19" ht="12.75" x14ac:dyDescent="0.2">
      <c r="A505" s="2" t="s">
        <v>24</v>
      </c>
      <c r="B505" s="2" t="str">
        <f t="shared" si="56"/>
        <v>Channel Partners</v>
      </c>
      <c r="C505" s="2" t="s">
        <v>16</v>
      </c>
      <c r="D505" s="2" t="str">
        <f>PROPER(Table1[[#This Row],[Country]])</f>
        <v>Canada</v>
      </c>
      <c r="E505" s="3" t="s">
        <v>17</v>
      </c>
      <c r="F505" s="3" t="s">
        <v>35</v>
      </c>
      <c r="G505" s="13">
        <v>1937</v>
      </c>
      <c r="H505" s="4">
        <v>3</v>
      </c>
      <c r="I505" s="4">
        <v>12</v>
      </c>
      <c r="J505" s="4">
        <f t="shared" si="57"/>
        <v>23244</v>
      </c>
      <c r="K505" s="4">
        <v>2556.84</v>
      </c>
      <c r="L505" s="4">
        <f t="shared" si="58"/>
        <v>20687.16</v>
      </c>
      <c r="M505" s="4">
        <v>5811</v>
      </c>
      <c r="N505" s="4">
        <f t="shared" si="59"/>
        <v>14876.16</v>
      </c>
      <c r="O505" s="16">
        <f t="shared" si="60"/>
        <v>0.7191011235955056</v>
      </c>
      <c r="P505" s="19">
        <v>41671</v>
      </c>
      <c r="Q505" s="5">
        <f t="shared" si="61"/>
        <v>2</v>
      </c>
      <c r="R505" s="3" t="str">
        <f t="shared" si="62"/>
        <v>February</v>
      </c>
      <c r="S505" s="6">
        <f t="shared" si="63"/>
        <v>2014</v>
      </c>
    </row>
    <row r="506" spans="1:19" ht="12.75" x14ac:dyDescent="0.2">
      <c r="A506" s="2" t="s">
        <v>15</v>
      </c>
      <c r="B506" s="2" t="str">
        <f t="shared" si="56"/>
        <v>Government</v>
      </c>
      <c r="C506" s="2" t="s">
        <v>19</v>
      </c>
      <c r="D506" s="2" t="str">
        <f>PROPER(Table1[[#This Row],[Country]])</f>
        <v>Germany</v>
      </c>
      <c r="E506" s="3" t="s">
        <v>17</v>
      </c>
      <c r="F506" s="3" t="s">
        <v>35</v>
      </c>
      <c r="G506" s="13">
        <v>792</v>
      </c>
      <c r="H506" s="4">
        <v>3</v>
      </c>
      <c r="I506" s="4">
        <v>350</v>
      </c>
      <c r="J506" s="4">
        <f t="shared" si="57"/>
        <v>277200</v>
      </c>
      <c r="K506" s="4">
        <v>30492</v>
      </c>
      <c r="L506" s="4">
        <f t="shared" si="58"/>
        <v>246708</v>
      </c>
      <c r="M506" s="4">
        <v>205920</v>
      </c>
      <c r="N506" s="4">
        <f t="shared" si="59"/>
        <v>40788</v>
      </c>
      <c r="O506" s="16">
        <f t="shared" si="60"/>
        <v>0.1653290529695024</v>
      </c>
      <c r="P506" s="19">
        <v>41699</v>
      </c>
      <c r="Q506" s="5">
        <f t="shared" si="61"/>
        <v>3</v>
      </c>
      <c r="R506" s="3" t="str">
        <f t="shared" si="62"/>
        <v>March</v>
      </c>
      <c r="S506" s="6">
        <f t="shared" si="63"/>
        <v>2014</v>
      </c>
    </row>
    <row r="507" spans="1:19" ht="12.75" x14ac:dyDescent="0.2">
      <c r="A507" s="2" t="s">
        <v>29</v>
      </c>
      <c r="B507" s="2" t="str">
        <f t="shared" si="56"/>
        <v>Small Business</v>
      </c>
      <c r="C507" s="2" t="s">
        <v>19</v>
      </c>
      <c r="D507" s="2" t="str">
        <f>PROPER(Table1[[#This Row],[Country]])</f>
        <v>Germany</v>
      </c>
      <c r="E507" s="3" t="s">
        <v>17</v>
      </c>
      <c r="F507" s="3" t="s">
        <v>35</v>
      </c>
      <c r="G507" s="13">
        <v>2811</v>
      </c>
      <c r="H507" s="4">
        <v>3</v>
      </c>
      <c r="I507" s="4">
        <v>300</v>
      </c>
      <c r="J507" s="4">
        <f t="shared" si="57"/>
        <v>843300</v>
      </c>
      <c r="K507" s="4">
        <v>92763</v>
      </c>
      <c r="L507" s="4">
        <f t="shared" si="58"/>
        <v>750537</v>
      </c>
      <c r="M507" s="4">
        <v>702750</v>
      </c>
      <c r="N507" s="4">
        <f t="shared" si="59"/>
        <v>47787</v>
      </c>
      <c r="O507" s="16">
        <f t="shared" si="60"/>
        <v>6.3670411985018729E-2</v>
      </c>
      <c r="P507" s="19">
        <v>41821</v>
      </c>
      <c r="Q507" s="5">
        <f t="shared" si="61"/>
        <v>7</v>
      </c>
      <c r="R507" s="3" t="str">
        <f t="shared" si="62"/>
        <v>July</v>
      </c>
      <c r="S507" s="6">
        <f t="shared" si="63"/>
        <v>2014</v>
      </c>
    </row>
    <row r="508" spans="1:19" ht="12.75" x14ac:dyDescent="0.2">
      <c r="A508" s="2" t="s">
        <v>25</v>
      </c>
      <c r="B508" s="2" t="str">
        <f t="shared" si="56"/>
        <v>Enterprise</v>
      </c>
      <c r="C508" s="2" t="s">
        <v>21</v>
      </c>
      <c r="D508" s="2" t="str">
        <f>PROPER(Table1[[#This Row],[Country]])</f>
        <v>France</v>
      </c>
      <c r="E508" s="3" t="s">
        <v>17</v>
      </c>
      <c r="F508" s="3" t="s">
        <v>35</v>
      </c>
      <c r="G508" s="13">
        <v>2441</v>
      </c>
      <c r="H508" s="4">
        <v>3</v>
      </c>
      <c r="I508" s="4">
        <v>125</v>
      </c>
      <c r="J508" s="4">
        <f t="shared" si="57"/>
        <v>305125</v>
      </c>
      <c r="K508" s="4">
        <v>33563.75</v>
      </c>
      <c r="L508" s="4">
        <f t="shared" si="58"/>
        <v>271561.25</v>
      </c>
      <c r="M508" s="4">
        <v>292920</v>
      </c>
      <c r="N508" s="4">
        <f t="shared" si="59"/>
        <v>-21358.75</v>
      </c>
      <c r="O508" s="16">
        <f t="shared" si="60"/>
        <v>-7.8651685393258425E-2</v>
      </c>
      <c r="P508" s="19">
        <v>41913</v>
      </c>
      <c r="Q508" s="5">
        <f t="shared" si="61"/>
        <v>10</v>
      </c>
      <c r="R508" s="3" t="str">
        <f t="shared" si="62"/>
        <v>October</v>
      </c>
      <c r="S508" s="6">
        <f t="shared" si="63"/>
        <v>2014</v>
      </c>
    </row>
    <row r="509" spans="1:19" ht="12.75" x14ac:dyDescent="0.2">
      <c r="A509" s="2" t="s">
        <v>20</v>
      </c>
      <c r="B509" s="2" t="str">
        <f t="shared" si="56"/>
        <v>Midmarket</v>
      </c>
      <c r="C509" s="2" t="s">
        <v>16</v>
      </c>
      <c r="D509" s="2" t="str">
        <f>PROPER(Table1[[#This Row],[Country]])</f>
        <v>Canada</v>
      </c>
      <c r="E509" s="3" t="s">
        <v>17</v>
      </c>
      <c r="F509" s="3" t="s">
        <v>35</v>
      </c>
      <c r="G509" s="13">
        <v>1560</v>
      </c>
      <c r="H509" s="4">
        <v>3</v>
      </c>
      <c r="I509" s="4">
        <v>15</v>
      </c>
      <c r="J509" s="4">
        <f t="shared" si="57"/>
        <v>23400</v>
      </c>
      <c r="K509" s="4">
        <v>2574</v>
      </c>
      <c r="L509" s="4">
        <f t="shared" si="58"/>
        <v>20826</v>
      </c>
      <c r="M509" s="4">
        <v>15600</v>
      </c>
      <c r="N509" s="4">
        <f t="shared" si="59"/>
        <v>5226</v>
      </c>
      <c r="O509" s="16">
        <f t="shared" si="60"/>
        <v>0.25093632958801498</v>
      </c>
      <c r="P509" s="19">
        <v>41579</v>
      </c>
      <c r="Q509" s="5">
        <f t="shared" si="61"/>
        <v>11</v>
      </c>
      <c r="R509" s="3" t="str">
        <f t="shared" si="62"/>
        <v>November</v>
      </c>
      <c r="S509" s="6">
        <f t="shared" si="63"/>
        <v>2013</v>
      </c>
    </row>
    <row r="510" spans="1:19" ht="12.75" x14ac:dyDescent="0.2">
      <c r="A510" s="2" t="s">
        <v>15</v>
      </c>
      <c r="B510" s="2" t="str">
        <f t="shared" si="56"/>
        <v>Government</v>
      </c>
      <c r="C510" s="2" t="s">
        <v>22</v>
      </c>
      <c r="D510" s="2" t="str">
        <f>PROPER(Table1[[#This Row],[Country]])</f>
        <v>Mexico</v>
      </c>
      <c r="E510" s="3" t="s">
        <v>17</v>
      </c>
      <c r="F510" s="3" t="s">
        <v>35</v>
      </c>
      <c r="G510" s="13">
        <v>2706</v>
      </c>
      <c r="H510" s="4">
        <v>3</v>
      </c>
      <c r="I510" s="4">
        <v>7</v>
      </c>
      <c r="J510" s="4">
        <f t="shared" si="57"/>
        <v>18942</v>
      </c>
      <c r="K510" s="4">
        <v>2083.62</v>
      </c>
      <c r="L510" s="4">
        <f t="shared" si="58"/>
        <v>16858.38</v>
      </c>
      <c r="M510" s="4">
        <v>13530</v>
      </c>
      <c r="N510" s="4">
        <f t="shared" si="59"/>
        <v>3328.380000000001</v>
      </c>
      <c r="O510" s="16">
        <f t="shared" si="60"/>
        <v>0.19743178170144468</v>
      </c>
      <c r="P510" s="19">
        <v>41579</v>
      </c>
      <c r="Q510" s="5">
        <f t="shared" si="61"/>
        <v>11</v>
      </c>
      <c r="R510" s="3" t="str">
        <f t="shared" si="62"/>
        <v>November</v>
      </c>
      <c r="S510" s="6">
        <f t="shared" si="63"/>
        <v>2013</v>
      </c>
    </row>
    <row r="511" spans="1:19" ht="12.75" x14ac:dyDescent="0.2">
      <c r="A511" s="2" t="s">
        <v>15</v>
      </c>
      <c r="B511" s="2" t="str">
        <f t="shared" si="56"/>
        <v>Government</v>
      </c>
      <c r="C511" s="2" t="s">
        <v>19</v>
      </c>
      <c r="D511" s="2" t="str">
        <f>PROPER(Table1[[#This Row],[Country]])</f>
        <v>Germany</v>
      </c>
      <c r="E511" s="3" t="s">
        <v>23</v>
      </c>
      <c r="F511" s="3" t="s">
        <v>35</v>
      </c>
      <c r="G511" s="13">
        <v>766</v>
      </c>
      <c r="H511" s="4">
        <v>5</v>
      </c>
      <c r="I511" s="4">
        <v>350</v>
      </c>
      <c r="J511" s="4">
        <f t="shared" si="57"/>
        <v>268100</v>
      </c>
      <c r="K511" s="4">
        <v>29491</v>
      </c>
      <c r="L511" s="4">
        <f t="shared" si="58"/>
        <v>238609</v>
      </c>
      <c r="M511" s="4">
        <v>199160</v>
      </c>
      <c r="N511" s="4">
        <f t="shared" si="59"/>
        <v>39449</v>
      </c>
      <c r="O511" s="16">
        <f t="shared" si="60"/>
        <v>0.1653290529695024</v>
      </c>
      <c r="P511" s="19">
        <v>41640</v>
      </c>
      <c r="Q511" s="5">
        <f t="shared" si="61"/>
        <v>1</v>
      </c>
      <c r="R511" s="3" t="str">
        <f t="shared" si="62"/>
        <v>January</v>
      </c>
      <c r="S511" s="6">
        <f t="shared" si="63"/>
        <v>2014</v>
      </c>
    </row>
    <row r="512" spans="1:19" ht="12.75" x14ac:dyDescent="0.2">
      <c r="A512" s="2" t="s">
        <v>15</v>
      </c>
      <c r="B512" s="2" t="str">
        <f t="shared" si="56"/>
        <v>Government</v>
      </c>
      <c r="C512" s="2" t="s">
        <v>19</v>
      </c>
      <c r="D512" s="2" t="str">
        <f>PROPER(Table1[[#This Row],[Country]])</f>
        <v>Germany</v>
      </c>
      <c r="E512" s="3" t="s">
        <v>23</v>
      </c>
      <c r="F512" s="3" t="s">
        <v>35</v>
      </c>
      <c r="G512" s="13">
        <v>2992</v>
      </c>
      <c r="H512" s="4">
        <v>5</v>
      </c>
      <c r="I512" s="4">
        <v>20</v>
      </c>
      <c r="J512" s="4">
        <f t="shared" si="57"/>
        <v>59840</v>
      </c>
      <c r="K512" s="4">
        <v>6582.4</v>
      </c>
      <c r="L512" s="4">
        <f t="shared" si="58"/>
        <v>53257.599999999999</v>
      </c>
      <c r="M512" s="4">
        <v>29920</v>
      </c>
      <c r="N512" s="4">
        <f t="shared" si="59"/>
        <v>23337.599999999999</v>
      </c>
      <c r="O512" s="16">
        <f t="shared" si="60"/>
        <v>0.4382022471910112</v>
      </c>
      <c r="P512" s="19">
        <v>41548</v>
      </c>
      <c r="Q512" s="5">
        <f t="shared" si="61"/>
        <v>10</v>
      </c>
      <c r="R512" s="3" t="str">
        <f t="shared" si="62"/>
        <v>October</v>
      </c>
      <c r="S512" s="6">
        <f t="shared" si="63"/>
        <v>2013</v>
      </c>
    </row>
    <row r="513" spans="1:19" ht="12.75" x14ac:dyDescent="0.2">
      <c r="A513" s="2" t="s">
        <v>20</v>
      </c>
      <c r="B513" s="2" t="str">
        <f t="shared" si="56"/>
        <v>Midmarket</v>
      </c>
      <c r="C513" s="2" t="s">
        <v>22</v>
      </c>
      <c r="D513" s="2" t="str">
        <f>PROPER(Table1[[#This Row],[Country]])</f>
        <v>Mexico</v>
      </c>
      <c r="E513" s="3" t="s">
        <v>23</v>
      </c>
      <c r="F513" s="3" t="s">
        <v>35</v>
      </c>
      <c r="G513" s="13">
        <v>2157</v>
      </c>
      <c r="H513" s="4">
        <v>5</v>
      </c>
      <c r="I513" s="4">
        <v>15</v>
      </c>
      <c r="J513" s="4">
        <f t="shared" si="57"/>
        <v>32355</v>
      </c>
      <c r="K513" s="4">
        <v>3559.05</v>
      </c>
      <c r="L513" s="4">
        <f t="shared" si="58"/>
        <v>28795.95</v>
      </c>
      <c r="M513" s="4">
        <v>21570</v>
      </c>
      <c r="N513" s="4">
        <f t="shared" si="59"/>
        <v>7225.9500000000007</v>
      </c>
      <c r="O513" s="16">
        <f t="shared" si="60"/>
        <v>0.25093632958801498</v>
      </c>
      <c r="P513" s="19">
        <v>41974</v>
      </c>
      <c r="Q513" s="5">
        <f t="shared" si="61"/>
        <v>12</v>
      </c>
      <c r="R513" s="3" t="str">
        <f t="shared" si="62"/>
        <v>December</v>
      </c>
      <c r="S513" s="6">
        <f t="shared" si="63"/>
        <v>2014</v>
      </c>
    </row>
    <row r="514" spans="1:19" ht="12.75" x14ac:dyDescent="0.2">
      <c r="A514" s="2" t="s">
        <v>29</v>
      </c>
      <c r="B514" s="2" t="str">
        <f t="shared" ref="B514:B577" si="64">PROPER(A514)</f>
        <v>Small Business</v>
      </c>
      <c r="C514" s="2" t="s">
        <v>16</v>
      </c>
      <c r="D514" s="2" t="str">
        <f>PROPER(Table1[[#This Row],[Country]])</f>
        <v>Canada</v>
      </c>
      <c r="E514" s="3" t="s">
        <v>28</v>
      </c>
      <c r="F514" s="3" t="s">
        <v>35</v>
      </c>
      <c r="G514" s="13">
        <v>873</v>
      </c>
      <c r="H514" s="4">
        <v>10</v>
      </c>
      <c r="I514" s="4">
        <v>300</v>
      </c>
      <c r="J514" s="4">
        <f t="shared" si="57"/>
        <v>261900</v>
      </c>
      <c r="K514" s="4">
        <v>28809</v>
      </c>
      <c r="L514" s="4">
        <f t="shared" si="58"/>
        <v>233091</v>
      </c>
      <c r="M514" s="4">
        <v>218250</v>
      </c>
      <c r="N514" s="4">
        <f t="shared" si="59"/>
        <v>14841</v>
      </c>
      <c r="O514" s="16">
        <f t="shared" si="60"/>
        <v>6.3670411985018729E-2</v>
      </c>
      <c r="P514" s="19">
        <v>41640</v>
      </c>
      <c r="Q514" s="5">
        <f t="shared" si="61"/>
        <v>1</v>
      </c>
      <c r="R514" s="3" t="str">
        <f t="shared" si="62"/>
        <v>January</v>
      </c>
      <c r="S514" s="6">
        <f t="shared" si="63"/>
        <v>2014</v>
      </c>
    </row>
    <row r="515" spans="1:19" ht="12.75" x14ac:dyDescent="0.2">
      <c r="A515" s="2" t="s">
        <v>15</v>
      </c>
      <c r="B515" s="2" t="str">
        <f t="shared" si="64"/>
        <v>Government</v>
      </c>
      <c r="C515" s="2" t="s">
        <v>22</v>
      </c>
      <c r="D515" s="2" t="str">
        <f>PROPER(Table1[[#This Row],[Country]])</f>
        <v>Mexico</v>
      </c>
      <c r="E515" s="3" t="s">
        <v>28</v>
      </c>
      <c r="F515" s="3" t="s">
        <v>35</v>
      </c>
      <c r="G515" s="13">
        <v>1122</v>
      </c>
      <c r="H515" s="4">
        <v>10</v>
      </c>
      <c r="I515" s="4">
        <v>20</v>
      </c>
      <c r="J515" s="4">
        <f t="shared" ref="J515:J578" si="65">G515*I515</f>
        <v>22440</v>
      </c>
      <c r="K515" s="4">
        <v>2468.4</v>
      </c>
      <c r="L515" s="4">
        <f t="shared" ref="L515:L578" si="66">J515-K515</f>
        <v>19971.599999999999</v>
      </c>
      <c r="M515" s="4">
        <v>11220</v>
      </c>
      <c r="N515" s="4">
        <f t="shared" ref="N515:N578" si="67">L515-M515</f>
        <v>8751.5999999999985</v>
      </c>
      <c r="O515" s="16">
        <f t="shared" ref="O515:O578" si="68">N515/L515</f>
        <v>0.4382022471910112</v>
      </c>
      <c r="P515" s="19">
        <v>41699</v>
      </c>
      <c r="Q515" s="5">
        <f t="shared" ref="Q515:Q578" si="69">MONTH(P515)</f>
        <v>3</v>
      </c>
      <c r="R515" s="3" t="str">
        <f t="shared" ref="R515:R578" si="70">TEXT(P515,"mmmm")</f>
        <v>March</v>
      </c>
      <c r="S515" s="6">
        <f t="shared" ref="S515:S578" si="71">YEAR(P515)</f>
        <v>2014</v>
      </c>
    </row>
    <row r="516" spans="1:19" ht="12.75" x14ac:dyDescent="0.2">
      <c r="A516" s="2" t="s">
        <v>15</v>
      </c>
      <c r="B516" s="2" t="str">
        <f t="shared" si="64"/>
        <v>Government</v>
      </c>
      <c r="C516" s="2" t="s">
        <v>16</v>
      </c>
      <c r="D516" s="2" t="str">
        <f>PROPER(Table1[[#This Row],[Country]])</f>
        <v>Canada</v>
      </c>
      <c r="E516" s="3" t="s">
        <v>28</v>
      </c>
      <c r="F516" s="3" t="s">
        <v>35</v>
      </c>
      <c r="G516" s="13">
        <v>2104.5</v>
      </c>
      <c r="H516" s="4">
        <v>10</v>
      </c>
      <c r="I516" s="4">
        <v>350</v>
      </c>
      <c r="J516" s="4">
        <f t="shared" si="65"/>
        <v>736575</v>
      </c>
      <c r="K516" s="4">
        <v>81023.25</v>
      </c>
      <c r="L516" s="4">
        <f t="shared" si="66"/>
        <v>655551.75</v>
      </c>
      <c r="M516" s="4">
        <v>547170</v>
      </c>
      <c r="N516" s="4">
        <f t="shared" si="67"/>
        <v>108381.75</v>
      </c>
      <c r="O516" s="16">
        <f t="shared" si="68"/>
        <v>0.1653290529695024</v>
      </c>
      <c r="P516" s="19">
        <v>41821</v>
      </c>
      <c r="Q516" s="5">
        <f t="shared" si="69"/>
        <v>7</v>
      </c>
      <c r="R516" s="3" t="str">
        <f t="shared" si="70"/>
        <v>July</v>
      </c>
      <c r="S516" s="6">
        <f t="shared" si="71"/>
        <v>2014</v>
      </c>
    </row>
    <row r="517" spans="1:19" ht="12.75" x14ac:dyDescent="0.2">
      <c r="A517" s="2" t="s">
        <v>24</v>
      </c>
      <c r="B517" s="2" t="str">
        <f t="shared" si="64"/>
        <v>Channel Partners</v>
      </c>
      <c r="C517" s="2" t="s">
        <v>16</v>
      </c>
      <c r="D517" s="2" t="str">
        <f>PROPER(Table1[[#This Row],[Country]])</f>
        <v>Canada</v>
      </c>
      <c r="E517" s="3" t="s">
        <v>28</v>
      </c>
      <c r="F517" s="3" t="s">
        <v>35</v>
      </c>
      <c r="G517" s="13">
        <v>4026</v>
      </c>
      <c r="H517" s="4">
        <v>10</v>
      </c>
      <c r="I517" s="4">
        <v>12</v>
      </c>
      <c r="J517" s="4">
        <f t="shared" si="65"/>
        <v>48312</v>
      </c>
      <c r="K517" s="4">
        <v>5314.32</v>
      </c>
      <c r="L517" s="4">
        <f t="shared" si="66"/>
        <v>42997.68</v>
      </c>
      <c r="M517" s="4">
        <v>12078</v>
      </c>
      <c r="N517" s="4">
        <f t="shared" si="67"/>
        <v>30919.68</v>
      </c>
      <c r="O517" s="16">
        <f t="shared" si="68"/>
        <v>0.7191011235955056</v>
      </c>
      <c r="P517" s="19">
        <v>41821</v>
      </c>
      <c r="Q517" s="5">
        <f t="shared" si="69"/>
        <v>7</v>
      </c>
      <c r="R517" s="3" t="str">
        <f t="shared" si="70"/>
        <v>July</v>
      </c>
      <c r="S517" s="6">
        <f t="shared" si="71"/>
        <v>2014</v>
      </c>
    </row>
    <row r="518" spans="1:19" ht="12.75" x14ac:dyDescent="0.2">
      <c r="A518" s="2" t="s">
        <v>24</v>
      </c>
      <c r="B518" s="2" t="str">
        <f t="shared" si="64"/>
        <v>Channel Partners</v>
      </c>
      <c r="C518" s="2" t="s">
        <v>21</v>
      </c>
      <c r="D518" s="2" t="str">
        <f>PROPER(Table1[[#This Row],[Country]])</f>
        <v>France</v>
      </c>
      <c r="E518" s="3" t="s">
        <v>28</v>
      </c>
      <c r="F518" s="3" t="s">
        <v>35</v>
      </c>
      <c r="G518" s="13">
        <v>2425.5</v>
      </c>
      <c r="H518" s="4">
        <v>10</v>
      </c>
      <c r="I518" s="4">
        <v>12</v>
      </c>
      <c r="J518" s="4">
        <f t="shared" si="65"/>
        <v>29106</v>
      </c>
      <c r="K518" s="4">
        <v>3201.66</v>
      </c>
      <c r="L518" s="4">
        <f t="shared" si="66"/>
        <v>25904.34</v>
      </c>
      <c r="M518" s="4">
        <v>7276.5</v>
      </c>
      <c r="N518" s="4">
        <f t="shared" si="67"/>
        <v>18627.84</v>
      </c>
      <c r="O518" s="16">
        <f t="shared" si="68"/>
        <v>0.7191011235955056</v>
      </c>
      <c r="P518" s="19">
        <v>41821</v>
      </c>
      <c r="Q518" s="5">
        <f t="shared" si="69"/>
        <v>7</v>
      </c>
      <c r="R518" s="3" t="str">
        <f t="shared" si="70"/>
        <v>July</v>
      </c>
      <c r="S518" s="6">
        <f t="shared" si="71"/>
        <v>2014</v>
      </c>
    </row>
    <row r="519" spans="1:19" ht="12.75" x14ac:dyDescent="0.2">
      <c r="A519" s="2" t="s">
        <v>15</v>
      </c>
      <c r="B519" s="2" t="str">
        <f t="shared" si="64"/>
        <v>Government</v>
      </c>
      <c r="C519" s="2" t="s">
        <v>16</v>
      </c>
      <c r="D519" s="2" t="str">
        <f>PROPER(Table1[[#This Row],[Country]])</f>
        <v>Canada</v>
      </c>
      <c r="E519" s="3" t="s">
        <v>28</v>
      </c>
      <c r="F519" s="3" t="s">
        <v>35</v>
      </c>
      <c r="G519" s="13">
        <v>2394</v>
      </c>
      <c r="H519" s="4">
        <v>10</v>
      </c>
      <c r="I519" s="4">
        <v>20</v>
      </c>
      <c r="J519" s="4">
        <f t="shared" si="65"/>
        <v>47880</v>
      </c>
      <c r="K519" s="4">
        <v>5266.8</v>
      </c>
      <c r="L519" s="4">
        <f t="shared" si="66"/>
        <v>42613.2</v>
      </c>
      <c r="M519" s="4">
        <v>23940</v>
      </c>
      <c r="N519" s="4">
        <f t="shared" si="67"/>
        <v>18673.199999999997</v>
      </c>
      <c r="O519" s="16">
        <f t="shared" si="68"/>
        <v>0.4382022471910112</v>
      </c>
      <c r="P519" s="19">
        <v>41852</v>
      </c>
      <c r="Q519" s="5">
        <f t="shared" si="69"/>
        <v>8</v>
      </c>
      <c r="R519" s="3" t="str">
        <f t="shared" si="70"/>
        <v>August</v>
      </c>
      <c r="S519" s="6">
        <f t="shared" si="71"/>
        <v>2014</v>
      </c>
    </row>
    <row r="520" spans="1:19" ht="12.75" x14ac:dyDescent="0.2">
      <c r="A520" s="2" t="s">
        <v>20</v>
      </c>
      <c r="B520" s="2" t="str">
        <f t="shared" si="64"/>
        <v>Midmarket</v>
      </c>
      <c r="C520" s="2" t="s">
        <v>22</v>
      </c>
      <c r="D520" s="2" t="str">
        <f>PROPER(Table1[[#This Row],[Country]])</f>
        <v>Mexico</v>
      </c>
      <c r="E520" s="3" t="s">
        <v>28</v>
      </c>
      <c r="F520" s="3" t="s">
        <v>35</v>
      </c>
      <c r="G520" s="13">
        <v>1984</v>
      </c>
      <c r="H520" s="4">
        <v>10</v>
      </c>
      <c r="I520" s="4">
        <v>15</v>
      </c>
      <c r="J520" s="4">
        <f t="shared" si="65"/>
        <v>29760</v>
      </c>
      <c r="K520" s="4">
        <v>3273.6</v>
      </c>
      <c r="L520" s="4">
        <f t="shared" si="66"/>
        <v>26486.400000000001</v>
      </c>
      <c r="M520" s="4">
        <v>19840</v>
      </c>
      <c r="N520" s="4">
        <f t="shared" si="67"/>
        <v>6646.4000000000015</v>
      </c>
      <c r="O520" s="16">
        <f t="shared" si="68"/>
        <v>0.25093632958801504</v>
      </c>
      <c r="P520" s="19">
        <v>41852</v>
      </c>
      <c r="Q520" s="5">
        <f t="shared" si="69"/>
        <v>8</v>
      </c>
      <c r="R520" s="3" t="str">
        <f t="shared" si="70"/>
        <v>August</v>
      </c>
      <c r="S520" s="6">
        <f t="shared" si="71"/>
        <v>2014</v>
      </c>
    </row>
    <row r="521" spans="1:19" ht="12.75" x14ac:dyDescent="0.2">
      <c r="A521" s="2" t="s">
        <v>25</v>
      </c>
      <c r="B521" s="2" t="str">
        <f t="shared" si="64"/>
        <v>Enterprise</v>
      </c>
      <c r="C521" s="2" t="s">
        <v>21</v>
      </c>
      <c r="D521" s="2" t="str">
        <f>PROPER(Table1[[#This Row],[Country]])</f>
        <v>France</v>
      </c>
      <c r="E521" s="3" t="s">
        <v>28</v>
      </c>
      <c r="F521" s="3" t="s">
        <v>35</v>
      </c>
      <c r="G521" s="13">
        <v>2441</v>
      </c>
      <c r="H521" s="4">
        <v>10</v>
      </c>
      <c r="I521" s="4">
        <v>125</v>
      </c>
      <c r="J521" s="4">
        <f t="shared" si="65"/>
        <v>305125</v>
      </c>
      <c r="K521" s="4">
        <v>33563.75</v>
      </c>
      <c r="L521" s="4">
        <f t="shared" si="66"/>
        <v>271561.25</v>
      </c>
      <c r="M521" s="4">
        <v>292920</v>
      </c>
      <c r="N521" s="4">
        <f t="shared" si="67"/>
        <v>-21358.75</v>
      </c>
      <c r="O521" s="16">
        <f t="shared" si="68"/>
        <v>-7.8651685393258425E-2</v>
      </c>
      <c r="P521" s="19">
        <v>41913</v>
      </c>
      <c r="Q521" s="5">
        <f t="shared" si="69"/>
        <v>10</v>
      </c>
      <c r="R521" s="3" t="str">
        <f t="shared" si="70"/>
        <v>October</v>
      </c>
      <c r="S521" s="6">
        <f t="shared" si="71"/>
        <v>2014</v>
      </c>
    </row>
    <row r="522" spans="1:19" ht="12.75" x14ac:dyDescent="0.2">
      <c r="A522" s="2" t="s">
        <v>15</v>
      </c>
      <c r="B522" s="2" t="str">
        <f t="shared" si="64"/>
        <v>Government</v>
      </c>
      <c r="C522" s="2" t="s">
        <v>19</v>
      </c>
      <c r="D522" s="2" t="str">
        <f>PROPER(Table1[[#This Row],[Country]])</f>
        <v>Germany</v>
      </c>
      <c r="E522" s="3" t="s">
        <v>28</v>
      </c>
      <c r="F522" s="3" t="s">
        <v>35</v>
      </c>
      <c r="G522" s="13">
        <v>2992</v>
      </c>
      <c r="H522" s="4">
        <v>10</v>
      </c>
      <c r="I522" s="4">
        <v>20</v>
      </c>
      <c r="J522" s="4">
        <f t="shared" si="65"/>
        <v>59840</v>
      </c>
      <c r="K522" s="4">
        <v>6582.4</v>
      </c>
      <c r="L522" s="4">
        <f t="shared" si="66"/>
        <v>53257.599999999999</v>
      </c>
      <c r="M522" s="4">
        <v>29920</v>
      </c>
      <c r="N522" s="4">
        <f t="shared" si="67"/>
        <v>23337.599999999999</v>
      </c>
      <c r="O522" s="16">
        <f t="shared" si="68"/>
        <v>0.4382022471910112</v>
      </c>
      <c r="P522" s="19">
        <v>41548</v>
      </c>
      <c r="Q522" s="5">
        <f t="shared" si="69"/>
        <v>10</v>
      </c>
      <c r="R522" s="3" t="str">
        <f t="shared" si="70"/>
        <v>October</v>
      </c>
      <c r="S522" s="6">
        <f t="shared" si="71"/>
        <v>2013</v>
      </c>
    </row>
    <row r="523" spans="1:19" ht="12.75" x14ac:dyDescent="0.2">
      <c r="A523" s="2" t="s">
        <v>29</v>
      </c>
      <c r="B523" s="2" t="str">
        <f t="shared" si="64"/>
        <v>Small Business</v>
      </c>
      <c r="C523" s="2" t="s">
        <v>16</v>
      </c>
      <c r="D523" s="2" t="str">
        <f>PROPER(Table1[[#This Row],[Country]])</f>
        <v>Canada</v>
      </c>
      <c r="E523" s="3" t="s">
        <v>28</v>
      </c>
      <c r="F523" s="3" t="s">
        <v>35</v>
      </c>
      <c r="G523" s="13">
        <v>1366</v>
      </c>
      <c r="H523" s="4">
        <v>10</v>
      </c>
      <c r="I523" s="4">
        <v>300</v>
      </c>
      <c r="J523" s="4">
        <f t="shared" si="65"/>
        <v>409800</v>
      </c>
      <c r="K523" s="4">
        <v>45078</v>
      </c>
      <c r="L523" s="4">
        <f t="shared" si="66"/>
        <v>364722</v>
      </c>
      <c r="M523" s="4">
        <v>341500</v>
      </c>
      <c r="N523" s="4">
        <f t="shared" si="67"/>
        <v>23222</v>
      </c>
      <c r="O523" s="16">
        <f t="shared" si="68"/>
        <v>6.3670411985018729E-2</v>
      </c>
      <c r="P523" s="19">
        <v>41944</v>
      </c>
      <c r="Q523" s="5">
        <f t="shared" si="69"/>
        <v>11</v>
      </c>
      <c r="R523" s="3" t="str">
        <f t="shared" si="70"/>
        <v>November</v>
      </c>
      <c r="S523" s="6">
        <f t="shared" si="71"/>
        <v>2014</v>
      </c>
    </row>
    <row r="524" spans="1:19" ht="12.75" x14ac:dyDescent="0.2">
      <c r="A524" s="2" t="s">
        <v>15</v>
      </c>
      <c r="B524" s="2" t="str">
        <f t="shared" si="64"/>
        <v>Government</v>
      </c>
      <c r="C524" s="2" t="s">
        <v>21</v>
      </c>
      <c r="D524" s="2" t="str">
        <f>PROPER(Table1[[#This Row],[Country]])</f>
        <v>France</v>
      </c>
      <c r="E524" s="3" t="s">
        <v>30</v>
      </c>
      <c r="F524" s="3" t="s">
        <v>35</v>
      </c>
      <c r="G524" s="13">
        <v>2805</v>
      </c>
      <c r="H524" s="4">
        <v>120</v>
      </c>
      <c r="I524" s="4">
        <v>20</v>
      </c>
      <c r="J524" s="4">
        <f t="shared" si="65"/>
        <v>56100</v>
      </c>
      <c r="K524" s="4">
        <v>6171</v>
      </c>
      <c r="L524" s="4">
        <f t="shared" si="66"/>
        <v>49929</v>
      </c>
      <c r="M524" s="4">
        <v>28050</v>
      </c>
      <c r="N524" s="4">
        <f t="shared" si="67"/>
        <v>21879</v>
      </c>
      <c r="O524" s="16">
        <f t="shared" si="68"/>
        <v>0.43820224719101125</v>
      </c>
      <c r="P524" s="19">
        <v>41518</v>
      </c>
      <c r="Q524" s="5">
        <f t="shared" si="69"/>
        <v>9</v>
      </c>
      <c r="R524" s="3" t="str">
        <f t="shared" si="70"/>
        <v>September</v>
      </c>
      <c r="S524" s="6">
        <f t="shared" si="71"/>
        <v>2013</v>
      </c>
    </row>
    <row r="525" spans="1:19" ht="12.75" x14ac:dyDescent="0.2">
      <c r="A525" s="2" t="s">
        <v>20</v>
      </c>
      <c r="B525" s="2" t="str">
        <f t="shared" si="64"/>
        <v>Midmarket</v>
      </c>
      <c r="C525" s="2" t="s">
        <v>22</v>
      </c>
      <c r="D525" s="2" t="str">
        <f>PROPER(Table1[[#This Row],[Country]])</f>
        <v>Mexico</v>
      </c>
      <c r="E525" s="3" t="s">
        <v>30</v>
      </c>
      <c r="F525" s="3" t="s">
        <v>35</v>
      </c>
      <c r="G525" s="13">
        <v>655</v>
      </c>
      <c r="H525" s="4">
        <v>120</v>
      </c>
      <c r="I525" s="4">
        <v>15</v>
      </c>
      <c r="J525" s="4">
        <f t="shared" si="65"/>
        <v>9825</v>
      </c>
      <c r="K525" s="4">
        <v>1080.75</v>
      </c>
      <c r="L525" s="4">
        <f t="shared" si="66"/>
        <v>8744.25</v>
      </c>
      <c r="M525" s="4">
        <v>6550</v>
      </c>
      <c r="N525" s="4">
        <f t="shared" si="67"/>
        <v>2194.25</v>
      </c>
      <c r="O525" s="16">
        <f t="shared" si="68"/>
        <v>0.25093632958801498</v>
      </c>
      <c r="P525" s="19">
        <v>41518</v>
      </c>
      <c r="Q525" s="5">
        <f t="shared" si="69"/>
        <v>9</v>
      </c>
      <c r="R525" s="3" t="str">
        <f t="shared" si="70"/>
        <v>September</v>
      </c>
      <c r="S525" s="6">
        <f t="shared" si="71"/>
        <v>2013</v>
      </c>
    </row>
    <row r="526" spans="1:19" ht="12.75" x14ac:dyDescent="0.2">
      <c r="A526" s="2" t="s">
        <v>15</v>
      </c>
      <c r="B526" s="2" t="str">
        <f t="shared" si="64"/>
        <v>Government</v>
      </c>
      <c r="C526" s="2" t="s">
        <v>22</v>
      </c>
      <c r="D526" s="2" t="str">
        <f>PROPER(Table1[[#This Row],[Country]])</f>
        <v>Mexico</v>
      </c>
      <c r="E526" s="3" t="s">
        <v>30</v>
      </c>
      <c r="F526" s="3" t="s">
        <v>35</v>
      </c>
      <c r="G526" s="13">
        <v>344</v>
      </c>
      <c r="H526" s="4">
        <v>120</v>
      </c>
      <c r="I526" s="4">
        <v>350</v>
      </c>
      <c r="J526" s="4">
        <f t="shared" si="65"/>
        <v>120400</v>
      </c>
      <c r="K526" s="4">
        <v>13244</v>
      </c>
      <c r="L526" s="4">
        <f t="shared" si="66"/>
        <v>107156</v>
      </c>
      <c r="M526" s="4">
        <v>89440</v>
      </c>
      <c r="N526" s="4">
        <f t="shared" si="67"/>
        <v>17716</v>
      </c>
      <c r="O526" s="16">
        <f t="shared" si="68"/>
        <v>0.1653290529695024</v>
      </c>
      <c r="P526" s="19">
        <v>41548</v>
      </c>
      <c r="Q526" s="5">
        <f t="shared" si="69"/>
        <v>10</v>
      </c>
      <c r="R526" s="3" t="str">
        <f t="shared" si="70"/>
        <v>October</v>
      </c>
      <c r="S526" s="6">
        <f t="shared" si="71"/>
        <v>2013</v>
      </c>
    </row>
    <row r="527" spans="1:19" ht="12.75" x14ac:dyDescent="0.2">
      <c r="A527" s="2" t="s">
        <v>15</v>
      </c>
      <c r="B527" s="2" t="str">
        <f t="shared" si="64"/>
        <v>Government</v>
      </c>
      <c r="C527" s="2" t="s">
        <v>16</v>
      </c>
      <c r="D527" s="2" t="str">
        <f>PROPER(Table1[[#This Row],[Country]])</f>
        <v>Canada</v>
      </c>
      <c r="E527" s="3" t="s">
        <v>30</v>
      </c>
      <c r="F527" s="3" t="s">
        <v>35</v>
      </c>
      <c r="G527" s="13">
        <v>1808</v>
      </c>
      <c r="H527" s="4">
        <v>120</v>
      </c>
      <c r="I527" s="4">
        <v>7</v>
      </c>
      <c r="J527" s="4">
        <f t="shared" si="65"/>
        <v>12656</v>
      </c>
      <c r="K527" s="4">
        <v>1392.16</v>
      </c>
      <c r="L527" s="4">
        <f t="shared" si="66"/>
        <v>11263.84</v>
      </c>
      <c r="M527" s="4">
        <v>9040</v>
      </c>
      <c r="N527" s="4">
        <f t="shared" si="67"/>
        <v>2223.84</v>
      </c>
      <c r="O527" s="16">
        <f t="shared" si="68"/>
        <v>0.19743178170144463</v>
      </c>
      <c r="P527" s="19">
        <v>41944</v>
      </c>
      <c r="Q527" s="5">
        <f t="shared" si="69"/>
        <v>11</v>
      </c>
      <c r="R527" s="3" t="str">
        <f t="shared" si="70"/>
        <v>November</v>
      </c>
      <c r="S527" s="6">
        <f t="shared" si="71"/>
        <v>2014</v>
      </c>
    </row>
    <row r="528" spans="1:19" ht="12.75" x14ac:dyDescent="0.2">
      <c r="A528" s="2" t="s">
        <v>24</v>
      </c>
      <c r="B528" s="2" t="str">
        <f t="shared" si="64"/>
        <v>Channel Partners</v>
      </c>
      <c r="C528" s="2" t="s">
        <v>21</v>
      </c>
      <c r="D528" s="2" t="str">
        <f>PROPER(Table1[[#This Row],[Country]])</f>
        <v>France</v>
      </c>
      <c r="E528" s="3" t="s">
        <v>31</v>
      </c>
      <c r="F528" s="3" t="s">
        <v>35</v>
      </c>
      <c r="G528" s="13">
        <v>1734</v>
      </c>
      <c r="H528" s="4">
        <v>250</v>
      </c>
      <c r="I528" s="4">
        <v>12</v>
      </c>
      <c r="J528" s="4">
        <f t="shared" si="65"/>
        <v>20808</v>
      </c>
      <c r="K528" s="4">
        <v>2288.88</v>
      </c>
      <c r="L528" s="4">
        <f t="shared" si="66"/>
        <v>18519.12</v>
      </c>
      <c r="M528" s="4">
        <v>5202</v>
      </c>
      <c r="N528" s="4">
        <f t="shared" si="67"/>
        <v>13317.119999999999</v>
      </c>
      <c r="O528" s="16">
        <f t="shared" si="68"/>
        <v>0.7191011235955056</v>
      </c>
      <c r="P528" s="19">
        <v>41640</v>
      </c>
      <c r="Q528" s="5">
        <f t="shared" si="69"/>
        <v>1</v>
      </c>
      <c r="R528" s="3" t="str">
        <f t="shared" si="70"/>
        <v>January</v>
      </c>
      <c r="S528" s="6">
        <f t="shared" si="71"/>
        <v>2014</v>
      </c>
    </row>
    <row r="529" spans="1:19" ht="12.75" x14ac:dyDescent="0.2">
      <c r="A529" s="2" t="s">
        <v>25</v>
      </c>
      <c r="B529" s="2" t="str">
        <f t="shared" si="64"/>
        <v>Enterprise</v>
      </c>
      <c r="C529" s="2" t="s">
        <v>22</v>
      </c>
      <c r="D529" s="2" t="str">
        <f>PROPER(Table1[[#This Row],[Country]])</f>
        <v>Mexico</v>
      </c>
      <c r="E529" s="3" t="s">
        <v>31</v>
      </c>
      <c r="F529" s="3" t="s">
        <v>35</v>
      </c>
      <c r="G529" s="13">
        <v>554</v>
      </c>
      <c r="H529" s="4">
        <v>250</v>
      </c>
      <c r="I529" s="4">
        <v>125</v>
      </c>
      <c r="J529" s="4">
        <f t="shared" si="65"/>
        <v>69250</v>
      </c>
      <c r="K529" s="4">
        <v>7617.5</v>
      </c>
      <c r="L529" s="4">
        <f t="shared" si="66"/>
        <v>61632.5</v>
      </c>
      <c r="M529" s="4">
        <v>66480</v>
      </c>
      <c r="N529" s="4">
        <f t="shared" si="67"/>
        <v>-4847.5</v>
      </c>
      <c r="O529" s="16">
        <f t="shared" si="68"/>
        <v>-7.8651685393258425E-2</v>
      </c>
      <c r="P529" s="19">
        <v>41640</v>
      </c>
      <c r="Q529" s="5">
        <f t="shared" si="69"/>
        <v>1</v>
      </c>
      <c r="R529" s="3" t="str">
        <f t="shared" si="70"/>
        <v>January</v>
      </c>
      <c r="S529" s="6">
        <f t="shared" si="71"/>
        <v>2014</v>
      </c>
    </row>
    <row r="530" spans="1:19" ht="12.75" x14ac:dyDescent="0.2">
      <c r="A530" s="2" t="s">
        <v>15</v>
      </c>
      <c r="B530" s="2" t="str">
        <f t="shared" si="64"/>
        <v>Government</v>
      </c>
      <c r="C530" s="2" t="s">
        <v>16</v>
      </c>
      <c r="D530" s="2" t="str">
        <f>PROPER(Table1[[#This Row],[Country]])</f>
        <v>Canada</v>
      </c>
      <c r="E530" s="3" t="s">
        <v>31</v>
      </c>
      <c r="F530" s="3" t="s">
        <v>35</v>
      </c>
      <c r="G530" s="13">
        <v>2935</v>
      </c>
      <c r="H530" s="4">
        <v>250</v>
      </c>
      <c r="I530" s="4">
        <v>20</v>
      </c>
      <c r="J530" s="4">
        <f t="shared" si="65"/>
        <v>58700</v>
      </c>
      <c r="K530" s="4">
        <v>6457</v>
      </c>
      <c r="L530" s="4">
        <f t="shared" si="66"/>
        <v>52243</v>
      </c>
      <c r="M530" s="4">
        <v>29350</v>
      </c>
      <c r="N530" s="4">
        <f t="shared" si="67"/>
        <v>22893</v>
      </c>
      <c r="O530" s="16">
        <f t="shared" si="68"/>
        <v>0.43820224719101125</v>
      </c>
      <c r="P530" s="19">
        <v>41579</v>
      </c>
      <c r="Q530" s="5">
        <f t="shared" si="69"/>
        <v>11</v>
      </c>
      <c r="R530" s="3" t="str">
        <f t="shared" si="70"/>
        <v>November</v>
      </c>
      <c r="S530" s="6">
        <f t="shared" si="71"/>
        <v>2013</v>
      </c>
    </row>
    <row r="531" spans="1:19" ht="12.75" x14ac:dyDescent="0.2">
      <c r="A531" s="2" t="s">
        <v>25</v>
      </c>
      <c r="B531" s="2" t="str">
        <f t="shared" si="64"/>
        <v>Enterprise</v>
      </c>
      <c r="C531" s="2" t="s">
        <v>19</v>
      </c>
      <c r="D531" s="2" t="str">
        <f>PROPER(Table1[[#This Row],[Country]])</f>
        <v>Germany</v>
      </c>
      <c r="E531" s="3" t="s">
        <v>32</v>
      </c>
      <c r="F531" s="3" t="s">
        <v>35</v>
      </c>
      <c r="G531" s="13">
        <v>3165</v>
      </c>
      <c r="H531" s="4">
        <v>260</v>
      </c>
      <c r="I531" s="4">
        <v>125</v>
      </c>
      <c r="J531" s="4">
        <f t="shared" si="65"/>
        <v>395625</v>
      </c>
      <c r="K531" s="4">
        <v>43518.75</v>
      </c>
      <c r="L531" s="4">
        <f t="shared" si="66"/>
        <v>352106.25</v>
      </c>
      <c r="M531" s="4">
        <v>379800</v>
      </c>
      <c r="N531" s="4">
        <f t="shared" si="67"/>
        <v>-27693.75</v>
      </c>
      <c r="O531" s="16">
        <f t="shared" si="68"/>
        <v>-7.8651685393258425E-2</v>
      </c>
      <c r="P531" s="19">
        <v>41640</v>
      </c>
      <c r="Q531" s="5">
        <f t="shared" si="69"/>
        <v>1</v>
      </c>
      <c r="R531" s="3" t="str">
        <f t="shared" si="70"/>
        <v>January</v>
      </c>
      <c r="S531" s="6">
        <f t="shared" si="71"/>
        <v>2014</v>
      </c>
    </row>
    <row r="532" spans="1:19" ht="12.75" x14ac:dyDescent="0.2">
      <c r="A532" s="2" t="s">
        <v>15</v>
      </c>
      <c r="B532" s="2" t="str">
        <f t="shared" si="64"/>
        <v>Government</v>
      </c>
      <c r="C532" s="2" t="s">
        <v>22</v>
      </c>
      <c r="D532" s="2" t="str">
        <f>PROPER(Table1[[#This Row],[Country]])</f>
        <v>Mexico</v>
      </c>
      <c r="E532" s="3" t="s">
        <v>32</v>
      </c>
      <c r="F532" s="3" t="s">
        <v>35</v>
      </c>
      <c r="G532" s="13">
        <v>2629</v>
      </c>
      <c r="H532" s="4">
        <v>260</v>
      </c>
      <c r="I532" s="4">
        <v>20</v>
      </c>
      <c r="J532" s="4">
        <f t="shared" si="65"/>
        <v>52580</v>
      </c>
      <c r="K532" s="4">
        <v>5783.8</v>
      </c>
      <c r="L532" s="4">
        <f t="shared" si="66"/>
        <v>46796.2</v>
      </c>
      <c r="M532" s="4">
        <v>26290</v>
      </c>
      <c r="N532" s="4">
        <f t="shared" si="67"/>
        <v>20506.199999999997</v>
      </c>
      <c r="O532" s="16">
        <f t="shared" si="68"/>
        <v>0.4382022471910112</v>
      </c>
      <c r="P532" s="19">
        <v>41640</v>
      </c>
      <c r="Q532" s="5">
        <f t="shared" si="69"/>
        <v>1</v>
      </c>
      <c r="R532" s="3" t="str">
        <f t="shared" si="70"/>
        <v>January</v>
      </c>
      <c r="S532" s="6">
        <f t="shared" si="71"/>
        <v>2014</v>
      </c>
    </row>
    <row r="533" spans="1:19" ht="12.75" x14ac:dyDescent="0.2">
      <c r="A533" s="2" t="s">
        <v>25</v>
      </c>
      <c r="B533" s="2" t="str">
        <f t="shared" si="64"/>
        <v>Enterprise</v>
      </c>
      <c r="C533" s="2" t="s">
        <v>21</v>
      </c>
      <c r="D533" s="2" t="str">
        <f>PROPER(Table1[[#This Row],[Country]])</f>
        <v>France</v>
      </c>
      <c r="E533" s="3" t="s">
        <v>32</v>
      </c>
      <c r="F533" s="3" t="s">
        <v>35</v>
      </c>
      <c r="G533" s="13">
        <v>1433</v>
      </c>
      <c r="H533" s="4">
        <v>260</v>
      </c>
      <c r="I533" s="4">
        <v>125</v>
      </c>
      <c r="J533" s="4">
        <f t="shared" si="65"/>
        <v>179125</v>
      </c>
      <c r="K533" s="4">
        <v>19703.75</v>
      </c>
      <c r="L533" s="4">
        <f t="shared" si="66"/>
        <v>159421.25</v>
      </c>
      <c r="M533" s="4">
        <v>171960</v>
      </c>
      <c r="N533" s="4">
        <f t="shared" si="67"/>
        <v>-12538.75</v>
      </c>
      <c r="O533" s="16">
        <f t="shared" si="68"/>
        <v>-7.8651685393258425E-2</v>
      </c>
      <c r="P533" s="19">
        <v>41760</v>
      </c>
      <c r="Q533" s="5">
        <f t="shared" si="69"/>
        <v>5</v>
      </c>
      <c r="R533" s="3" t="str">
        <f t="shared" si="70"/>
        <v>May</v>
      </c>
      <c r="S533" s="6">
        <f t="shared" si="71"/>
        <v>2014</v>
      </c>
    </row>
    <row r="534" spans="1:19" ht="12.75" x14ac:dyDescent="0.2">
      <c r="A534" s="2" t="s">
        <v>25</v>
      </c>
      <c r="B534" s="2" t="str">
        <f t="shared" si="64"/>
        <v>Enterprise</v>
      </c>
      <c r="C534" s="2" t="s">
        <v>22</v>
      </c>
      <c r="D534" s="2" t="str">
        <f>PROPER(Table1[[#This Row],[Country]])</f>
        <v>Mexico</v>
      </c>
      <c r="E534" s="3" t="s">
        <v>32</v>
      </c>
      <c r="F534" s="3" t="s">
        <v>35</v>
      </c>
      <c r="G534" s="13">
        <v>947</v>
      </c>
      <c r="H534" s="4">
        <v>260</v>
      </c>
      <c r="I534" s="4">
        <v>125</v>
      </c>
      <c r="J534" s="4">
        <f t="shared" si="65"/>
        <v>118375</v>
      </c>
      <c r="K534" s="4">
        <v>13021.25</v>
      </c>
      <c r="L534" s="4">
        <f t="shared" si="66"/>
        <v>105353.75</v>
      </c>
      <c r="M534" s="4">
        <v>113640</v>
      </c>
      <c r="N534" s="4">
        <f t="shared" si="67"/>
        <v>-8286.25</v>
      </c>
      <c r="O534" s="16">
        <f t="shared" si="68"/>
        <v>-7.8651685393258425E-2</v>
      </c>
      <c r="P534" s="19">
        <v>41518</v>
      </c>
      <c r="Q534" s="5">
        <f t="shared" si="69"/>
        <v>9</v>
      </c>
      <c r="R534" s="3" t="str">
        <f t="shared" si="70"/>
        <v>September</v>
      </c>
      <c r="S534" s="6">
        <f t="shared" si="71"/>
        <v>2013</v>
      </c>
    </row>
    <row r="535" spans="1:19" ht="12.75" x14ac:dyDescent="0.2">
      <c r="A535" s="2" t="s">
        <v>15</v>
      </c>
      <c r="B535" s="2" t="str">
        <f t="shared" si="64"/>
        <v>Government</v>
      </c>
      <c r="C535" s="2" t="s">
        <v>22</v>
      </c>
      <c r="D535" s="2" t="str">
        <f>PROPER(Table1[[#This Row],[Country]])</f>
        <v>Mexico</v>
      </c>
      <c r="E535" s="3" t="s">
        <v>32</v>
      </c>
      <c r="F535" s="3" t="s">
        <v>35</v>
      </c>
      <c r="G535" s="13">
        <v>344</v>
      </c>
      <c r="H535" s="4">
        <v>260</v>
      </c>
      <c r="I535" s="4">
        <v>350</v>
      </c>
      <c r="J535" s="4">
        <f t="shared" si="65"/>
        <v>120400</v>
      </c>
      <c r="K535" s="4">
        <v>13244</v>
      </c>
      <c r="L535" s="4">
        <f t="shared" si="66"/>
        <v>107156</v>
      </c>
      <c r="M535" s="4">
        <v>89440</v>
      </c>
      <c r="N535" s="4">
        <f t="shared" si="67"/>
        <v>17716</v>
      </c>
      <c r="O535" s="16">
        <f t="shared" si="68"/>
        <v>0.1653290529695024</v>
      </c>
      <c r="P535" s="19">
        <v>41548</v>
      </c>
      <c r="Q535" s="5">
        <f t="shared" si="69"/>
        <v>10</v>
      </c>
      <c r="R535" s="3" t="str">
        <f t="shared" si="70"/>
        <v>October</v>
      </c>
      <c r="S535" s="6">
        <f t="shared" si="71"/>
        <v>2013</v>
      </c>
    </row>
    <row r="536" spans="1:19" ht="12.75" x14ac:dyDescent="0.2">
      <c r="A536" s="2" t="s">
        <v>20</v>
      </c>
      <c r="B536" s="2" t="str">
        <f t="shared" si="64"/>
        <v>Midmarket</v>
      </c>
      <c r="C536" s="2" t="s">
        <v>22</v>
      </c>
      <c r="D536" s="2" t="str">
        <f>PROPER(Table1[[#This Row],[Country]])</f>
        <v>Mexico</v>
      </c>
      <c r="E536" s="3" t="s">
        <v>32</v>
      </c>
      <c r="F536" s="3" t="s">
        <v>35</v>
      </c>
      <c r="G536" s="13">
        <v>2157</v>
      </c>
      <c r="H536" s="4">
        <v>260</v>
      </c>
      <c r="I536" s="4">
        <v>15</v>
      </c>
      <c r="J536" s="4">
        <f t="shared" si="65"/>
        <v>32355</v>
      </c>
      <c r="K536" s="4">
        <v>3559.05</v>
      </c>
      <c r="L536" s="4">
        <f t="shared" si="66"/>
        <v>28795.95</v>
      </c>
      <c r="M536" s="4">
        <v>21570</v>
      </c>
      <c r="N536" s="4">
        <f t="shared" si="67"/>
        <v>7225.9500000000007</v>
      </c>
      <c r="O536" s="16">
        <f t="shared" si="68"/>
        <v>0.25093632958801498</v>
      </c>
      <c r="P536" s="19">
        <v>41974</v>
      </c>
      <c r="Q536" s="5">
        <f t="shared" si="69"/>
        <v>12</v>
      </c>
      <c r="R536" s="3" t="str">
        <f t="shared" si="70"/>
        <v>December</v>
      </c>
      <c r="S536" s="6">
        <f t="shared" si="71"/>
        <v>2014</v>
      </c>
    </row>
    <row r="537" spans="1:19" ht="12.75" x14ac:dyDescent="0.2">
      <c r="A537" s="2" t="s">
        <v>15</v>
      </c>
      <c r="B537" s="2" t="str">
        <f t="shared" si="64"/>
        <v>Government</v>
      </c>
      <c r="C537" s="2" t="s">
        <v>71</v>
      </c>
      <c r="D537" s="2" t="str">
        <f>PROPER(Table1[[#This Row],[Country]])</f>
        <v>Usa</v>
      </c>
      <c r="E537" s="3" t="s">
        <v>28</v>
      </c>
      <c r="F537" s="3" t="s">
        <v>35</v>
      </c>
      <c r="G537" s="13">
        <v>380</v>
      </c>
      <c r="H537" s="4">
        <v>10</v>
      </c>
      <c r="I537" s="4">
        <v>7</v>
      </c>
      <c r="J537" s="4">
        <f t="shared" si="65"/>
        <v>2660</v>
      </c>
      <c r="K537" s="4">
        <v>292.60000000000002</v>
      </c>
      <c r="L537" s="4">
        <f t="shared" si="66"/>
        <v>2367.4</v>
      </c>
      <c r="M537" s="4">
        <v>1900</v>
      </c>
      <c r="N537" s="4">
        <f t="shared" si="67"/>
        <v>467.40000000000009</v>
      </c>
      <c r="O537" s="16">
        <f t="shared" si="68"/>
        <v>0.19743178170144465</v>
      </c>
      <c r="P537" s="19">
        <v>41518</v>
      </c>
      <c r="Q537" s="5">
        <f t="shared" si="69"/>
        <v>9</v>
      </c>
      <c r="R537" s="3" t="str">
        <f t="shared" si="70"/>
        <v>September</v>
      </c>
      <c r="S537" s="6">
        <f t="shared" si="71"/>
        <v>2013</v>
      </c>
    </row>
    <row r="538" spans="1:19" ht="12.75" x14ac:dyDescent="0.2">
      <c r="A538" s="2" t="s">
        <v>15</v>
      </c>
      <c r="B538" s="2" t="str">
        <f t="shared" si="64"/>
        <v>Government</v>
      </c>
      <c r="C538" s="2" t="s">
        <v>22</v>
      </c>
      <c r="D538" s="2" t="str">
        <f>PROPER(Table1[[#This Row],[Country]])</f>
        <v>Mexico</v>
      </c>
      <c r="E538" s="3" t="s">
        <v>17</v>
      </c>
      <c r="F538" s="3" t="s">
        <v>35</v>
      </c>
      <c r="G538" s="13">
        <v>886</v>
      </c>
      <c r="H538" s="4">
        <v>3</v>
      </c>
      <c r="I538" s="4">
        <v>350</v>
      </c>
      <c r="J538" s="4">
        <f t="shared" si="65"/>
        <v>310100</v>
      </c>
      <c r="K538" s="4">
        <v>37212</v>
      </c>
      <c r="L538" s="4">
        <f t="shared" si="66"/>
        <v>272888</v>
      </c>
      <c r="M538" s="4">
        <v>230360</v>
      </c>
      <c r="N538" s="4">
        <f t="shared" si="67"/>
        <v>42528</v>
      </c>
      <c r="O538" s="16">
        <f t="shared" si="68"/>
        <v>0.15584415584415584</v>
      </c>
      <c r="P538" s="19">
        <v>41791</v>
      </c>
      <c r="Q538" s="5">
        <f t="shared" si="69"/>
        <v>6</v>
      </c>
      <c r="R538" s="3" t="str">
        <f t="shared" si="70"/>
        <v>June</v>
      </c>
      <c r="S538" s="6">
        <f t="shared" si="71"/>
        <v>2014</v>
      </c>
    </row>
    <row r="539" spans="1:19" ht="12.75" x14ac:dyDescent="0.2">
      <c r="A539" s="2" t="s">
        <v>25</v>
      </c>
      <c r="B539" s="2" t="str">
        <f t="shared" si="64"/>
        <v>Enterprise</v>
      </c>
      <c r="C539" s="2" t="s">
        <v>16</v>
      </c>
      <c r="D539" s="2" t="str">
        <f>PROPER(Table1[[#This Row],[Country]])</f>
        <v>Canada</v>
      </c>
      <c r="E539" s="3" t="s">
        <v>17</v>
      </c>
      <c r="F539" s="3" t="s">
        <v>35</v>
      </c>
      <c r="G539" s="13">
        <v>2416</v>
      </c>
      <c r="H539" s="4">
        <v>3</v>
      </c>
      <c r="I539" s="4">
        <v>125</v>
      </c>
      <c r="J539" s="4">
        <f t="shared" si="65"/>
        <v>302000</v>
      </c>
      <c r="K539" s="4">
        <v>36240</v>
      </c>
      <c r="L539" s="4">
        <f t="shared" si="66"/>
        <v>265760</v>
      </c>
      <c r="M539" s="4">
        <v>289920</v>
      </c>
      <c r="N539" s="4">
        <f t="shared" si="67"/>
        <v>-24160</v>
      </c>
      <c r="O539" s="16">
        <f t="shared" si="68"/>
        <v>-9.0909090909090912E-2</v>
      </c>
      <c r="P539" s="19">
        <v>41518</v>
      </c>
      <c r="Q539" s="5">
        <f t="shared" si="69"/>
        <v>9</v>
      </c>
      <c r="R539" s="3" t="str">
        <f t="shared" si="70"/>
        <v>September</v>
      </c>
      <c r="S539" s="6">
        <f t="shared" si="71"/>
        <v>2013</v>
      </c>
    </row>
    <row r="540" spans="1:19" ht="12.75" x14ac:dyDescent="0.2">
      <c r="A540" s="2" t="s">
        <v>25</v>
      </c>
      <c r="B540" s="2" t="str">
        <f t="shared" si="64"/>
        <v>Enterprise</v>
      </c>
      <c r="C540" s="2" t="s">
        <v>22</v>
      </c>
      <c r="D540" s="2" t="str">
        <f>PROPER(Table1[[#This Row],[Country]])</f>
        <v>Mexico</v>
      </c>
      <c r="E540" s="3" t="s">
        <v>17</v>
      </c>
      <c r="F540" s="3" t="s">
        <v>35</v>
      </c>
      <c r="G540" s="13">
        <v>2156</v>
      </c>
      <c r="H540" s="4">
        <v>3</v>
      </c>
      <c r="I540" s="4">
        <v>125</v>
      </c>
      <c r="J540" s="4">
        <f t="shared" si="65"/>
        <v>269500</v>
      </c>
      <c r="K540" s="4">
        <v>32340</v>
      </c>
      <c r="L540" s="4">
        <f t="shared" si="66"/>
        <v>237160</v>
      </c>
      <c r="M540" s="4">
        <v>258720</v>
      </c>
      <c r="N540" s="4">
        <f t="shared" si="67"/>
        <v>-21560</v>
      </c>
      <c r="O540" s="16">
        <f t="shared" si="68"/>
        <v>-9.0909090909090912E-2</v>
      </c>
      <c r="P540" s="19">
        <v>41913</v>
      </c>
      <c r="Q540" s="5">
        <f t="shared" si="69"/>
        <v>10</v>
      </c>
      <c r="R540" s="3" t="str">
        <f t="shared" si="70"/>
        <v>October</v>
      </c>
      <c r="S540" s="6">
        <f t="shared" si="71"/>
        <v>2014</v>
      </c>
    </row>
    <row r="541" spans="1:19" ht="12.75" x14ac:dyDescent="0.2">
      <c r="A541" s="2" t="s">
        <v>20</v>
      </c>
      <c r="B541" s="2" t="str">
        <f t="shared" si="64"/>
        <v>Midmarket</v>
      </c>
      <c r="C541" s="2" t="s">
        <v>16</v>
      </c>
      <c r="D541" s="2" t="str">
        <f>PROPER(Table1[[#This Row],[Country]])</f>
        <v>Canada</v>
      </c>
      <c r="E541" s="3" t="s">
        <v>17</v>
      </c>
      <c r="F541" s="3" t="s">
        <v>35</v>
      </c>
      <c r="G541" s="13">
        <v>2689</v>
      </c>
      <c r="H541" s="4">
        <v>3</v>
      </c>
      <c r="I541" s="4">
        <v>15</v>
      </c>
      <c r="J541" s="4">
        <f t="shared" si="65"/>
        <v>40335</v>
      </c>
      <c r="K541" s="4">
        <v>4840.2</v>
      </c>
      <c r="L541" s="4">
        <f t="shared" si="66"/>
        <v>35494.800000000003</v>
      </c>
      <c r="M541" s="4">
        <v>26890</v>
      </c>
      <c r="N541" s="4">
        <f t="shared" si="67"/>
        <v>8604.8000000000029</v>
      </c>
      <c r="O541" s="16">
        <f t="shared" si="68"/>
        <v>0.24242424242424249</v>
      </c>
      <c r="P541" s="19">
        <v>41944</v>
      </c>
      <c r="Q541" s="5">
        <f t="shared" si="69"/>
        <v>11</v>
      </c>
      <c r="R541" s="3" t="str">
        <f t="shared" si="70"/>
        <v>November</v>
      </c>
      <c r="S541" s="6">
        <f t="shared" si="71"/>
        <v>2014</v>
      </c>
    </row>
    <row r="542" spans="1:19" ht="12.75" x14ac:dyDescent="0.2">
      <c r="A542" s="2" t="s">
        <v>20</v>
      </c>
      <c r="B542" s="2" t="str">
        <f t="shared" si="64"/>
        <v>Midmarket</v>
      </c>
      <c r="C542" s="2" t="s">
        <v>71</v>
      </c>
      <c r="D542" s="2" t="str">
        <f>PROPER(Table1[[#This Row],[Country]])</f>
        <v>Usa</v>
      </c>
      <c r="E542" s="3" t="s">
        <v>23</v>
      </c>
      <c r="F542" s="3" t="s">
        <v>35</v>
      </c>
      <c r="G542" s="13">
        <v>677</v>
      </c>
      <c r="H542" s="4">
        <v>5</v>
      </c>
      <c r="I542" s="4">
        <v>15</v>
      </c>
      <c r="J542" s="4">
        <f t="shared" si="65"/>
        <v>10155</v>
      </c>
      <c r="K542" s="4">
        <v>1218.5999999999999</v>
      </c>
      <c r="L542" s="4">
        <f t="shared" si="66"/>
        <v>8936.4</v>
      </c>
      <c r="M542" s="4">
        <v>6770</v>
      </c>
      <c r="N542" s="4">
        <f t="shared" si="67"/>
        <v>2166.3999999999996</v>
      </c>
      <c r="O542" s="16">
        <f t="shared" si="68"/>
        <v>0.2424242424242424</v>
      </c>
      <c r="P542" s="19">
        <v>41699</v>
      </c>
      <c r="Q542" s="5">
        <f t="shared" si="69"/>
        <v>3</v>
      </c>
      <c r="R542" s="3" t="str">
        <f t="shared" si="70"/>
        <v>March</v>
      </c>
      <c r="S542" s="6">
        <f t="shared" si="71"/>
        <v>2014</v>
      </c>
    </row>
    <row r="543" spans="1:19" ht="12.75" x14ac:dyDescent="0.2">
      <c r="A543" s="2" t="s">
        <v>29</v>
      </c>
      <c r="B543" s="2" t="str">
        <f t="shared" si="64"/>
        <v>Small Business</v>
      </c>
      <c r="C543" s="2" t="s">
        <v>21</v>
      </c>
      <c r="D543" s="2" t="str">
        <f>PROPER(Table1[[#This Row],[Country]])</f>
        <v>France</v>
      </c>
      <c r="E543" s="3" t="s">
        <v>23</v>
      </c>
      <c r="F543" s="3" t="s">
        <v>35</v>
      </c>
      <c r="G543" s="13">
        <v>1773</v>
      </c>
      <c r="H543" s="4">
        <v>5</v>
      </c>
      <c r="I543" s="4">
        <v>300</v>
      </c>
      <c r="J543" s="4">
        <f t="shared" si="65"/>
        <v>531900</v>
      </c>
      <c r="K543" s="4">
        <v>63828</v>
      </c>
      <c r="L543" s="4">
        <f t="shared" si="66"/>
        <v>468072</v>
      </c>
      <c r="M543" s="4">
        <v>443250</v>
      </c>
      <c r="N543" s="4">
        <f t="shared" si="67"/>
        <v>24822</v>
      </c>
      <c r="O543" s="16">
        <f t="shared" si="68"/>
        <v>5.3030303030303032E-2</v>
      </c>
      <c r="P543" s="19">
        <v>41730</v>
      </c>
      <c r="Q543" s="5">
        <f t="shared" si="69"/>
        <v>4</v>
      </c>
      <c r="R543" s="3" t="str">
        <f t="shared" si="70"/>
        <v>April</v>
      </c>
      <c r="S543" s="6">
        <f t="shared" si="71"/>
        <v>2014</v>
      </c>
    </row>
    <row r="544" spans="1:19" ht="12.75" x14ac:dyDescent="0.2">
      <c r="A544" s="2" t="s">
        <v>15</v>
      </c>
      <c r="B544" s="2" t="str">
        <f t="shared" si="64"/>
        <v>Government</v>
      </c>
      <c r="C544" s="2" t="s">
        <v>22</v>
      </c>
      <c r="D544" s="2" t="str">
        <f>PROPER(Table1[[#This Row],[Country]])</f>
        <v>Mexico</v>
      </c>
      <c r="E544" s="3" t="s">
        <v>23</v>
      </c>
      <c r="F544" s="3" t="s">
        <v>35</v>
      </c>
      <c r="G544" s="13">
        <v>2420</v>
      </c>
      <c r="H544" s="4">
        <v>5</v>
      </c>
      <c r="I544" s="4">
        <v>7</v>
      </c>
      <c r="J544" s="4">
        <f t="shared" si="65"/>
        <v>16940</v>
      </c>
      <c r="K544" s="4">
        <v>2032.8</v>
      </c>
      <c r="L544" s="4">
        <f t="shared" si="66"/>
        <v>14907.2</v>
      </c>
      <c r="M544" s="4">
        <v>12100</v>
      </c>
      <c r="N544" s="4">
        <f t="shared" si="67"/>
        <v>2807.2000000000007</v>
      </c>
      <c r="O544" s="16">
        <f t="shared" si="68"/>
        <v>0.18831168831168835</v>
      </c>
      <c r="P544" s="19">
        <v>41883</v>
      </c>
      <c r="Q544" s="5">
        <f t="shared" si="69"/>
        <v>9</v>
      </c>
      <c r="R544" s="3" t="str">
        <f t="shared" si="70"/>
        <v>September</v>
      </c>
      <c r="S544" s="6">
        <f t="shared" si="71"/>
        <v>2014</v>
      </c>
    </row>
    <row r="545" spans="1:19" ht="12.75" x14ac:dyDescent="0.2">
      <c r="A545" s="2" t="s">
        <v>15</v>
      </c>
      <c r="B545" s="2" t="str">
        <f t="shared" si="64"/>
        <v>Government</v>
      </c>
      <c r="C545" s="2" t="s">
        <v>16</v>
      </c>
      <c r="D545" s="2" t="str">
        <f>PROPER(Table1[[#This Row],[Country]])</f>
        <v>Canada</v>
      </c>
      <c r="E545" s="3" t="s">
        <v>23</v>
      </c>
      <c r="F545" s="3" t="s">
        <v>35</v>
      </c>
      <c r="G545" s="13">
        <v>2734</v>
      </c>
      <c r="H545" s="4">
        <v>5</v>
      </c>
      <c r="I545" s="4">
        <v>7</v>
      </c>
      <c r="J545" s="4">
        <f t="shared" si="65"/>
        <v>19138</v>
      </c>
      <c r="K545" s="4">
        <v>2296.56</v>
      </c>
      <c r="L545" s="4">
        <f t="shared" si="66"/>
        <v>16841.439999999999</v>
      </c>
      <c r="M545" s="4">
        <v>13670</v>
      </c>
      <c r="N545" s="4">
        <f t="shared" si="67"/>
        <v>3171.4399999999987</v>
      </c>
      <c r="O545" s="16">
        <f t="shared" si="68"/>
        <v>0.18831168831168824</v>
      </c>
      <c r="P545" s="19">
        <v>41913</v>
      </c>
      <c r="Q545" s="5">
        <f t="shared" si="69"/>
        <v>10</v>
      </c>
      <c r="R545" s="3" t="str">
        <f t="shared" si="70"/>
        <v>October</v>
      </c>
      <c r="S545" s="6">
        <f t="shared" si="71"/>
        <v>2014</v>
      </c>
    </row>
    <row r="546" spans="1:19" ht="12.75" x14ac:dyDescent="0.2">
      <c r="A546" s="2" t="s">
        <v>15</v>
      </c>
      <c r="B546" s="2" t="str">
        <f t="shared" si="64"/>
        <v>Government</v>
      </c>
      <c r="C546" s="2" t="s">
        <v>22</v>
      </c>
      <c r="D546" s="2" t="str">
        <f>PROPER(Table1[[#This Row],[Country]])</f>
        <v>Mexico</v>
      </c>
      <c r="E546" s="3" t="s">
        <v>23</v>
      </c>
      <c r="F546" s="3" t="s">
        <v>35</v>
      </c>
      <c r="G546" s="13">
        <v>1715</v>
      </c>
      <c r="H546" s="4">
        <v>5</v>
      </c>
      <c r="I546" s="4">
        <v>20</v>
      </c>
      <c r="J546" s="4">
        <f t="shared" si="65"/>
        <v>34300</v>
      </c>
      <c r="K546" s="4">
        <v>4116</v>
      </c>
      <c r="L546" s="4">
        <f t="shared" si="66"/>
        <v>30184</v>
      </c>
      <c r="M546" s="4">
        <v>17150</v>
      </c>
      <c r="N546" s="4">
        <f t="shared" si="67"/>
        <v>13034</v>
      </c>
      <c r="O546" s="16">
        <f t="shared" si="68"/>
        <v>0.43181818181818182</v>
      </c>
      <c r="P546" s="19">
        <v>41548</v>
      </c>
      <c r="Q546" s="5">
        <f t="shared" si="69"/>
        <v>10</v>
      </c>
      <c r="R546" s="3" t="str">
        <f t="shared" si="70"/>
        <v>October</v>
      </c>
      <c r="S546" s="6">
        <f t="shared" si="71"/>
        <v>2013</v>
      </c>
    </row>
    <row r="547" spans="1:19" ht="12.75" x14ac:dyDescent="0.2">
      <c r="A547" s="2" t="s">
        <v>29</v>
      </c>
      <c r="B547" s="2" t="str">
        <f t="shared" si="64"/>
        <v>Small Business</v>
      </c>
      <c r="C547" s="2" t="s">
        <v>21</v>
      </c>
      <c r="D547" s="2" t="str">
        <f>PROPER(Table1[[#This Row],[Country]])</f>
        <v>France</v>
      </c>
      <c r="E547" s="3" t="s">
        <v>23</v>
      </c>
      <c r="F547" s="3" t="s">
        <v>35</v>
      </c>
      <c r="G547" s="13">
        <v>1186</v>
      </c>
      <c r="H547" s="4">
        <v>5</v>
      </c>
      <c r="I547" s="4">
        <v>300</v>
      </c>
      <c r="J547" s="4">
        <f t="shared" si="65"/>
        <v>355800</v>
      </c>
      <c r="K547" s="4">
        <v>42696</v>
      </c>
      <c r="L547" s="4">
        <f t="shared" si="66"/>
        <v>313104</v>
      </c>
      <c r="M547" s="4">
        <v>296500</v>
      </c>
      <c r="N547" s="4">
        <f t="shared" si="67"/>
        <v>16604</v>
      </c>
      <c r="O547" s="16">
        <f t="shared" si="68"/>
        <v>5.3030303030303032E-2</v>
      </c>
      <c r="P547" s="19">
        <v>41609</v>
      </c>
      <c r="Q547" s="5">
        <f t="shared" si="69"/>
        <v>12</v>
      </c>
      <c r="R547" s="3" t="str">
        <f t="shared" si="70"/>
        <v>December</v>
      </c>
      <c r="S547" s="6">
        <f t="shared" si="71"/>
        <v>2013</v>
      </c>
    </row>
    <row r="548" spans="1:19" ht="12.75" x14ac:dyDescent="0.2">
      <c r="A548" s="2" t="s">
        <v>29</v>
      </c>
      <c r="B548" s="2" t="str">
        <f t="shared" si="64"/>
        <v>Small Business</v>
      </c>
      <c r="C548" s="2" t="s">
        <v>71</v>
      </c>
      <c r="D548" s="2" t="str">
        <f>PROPER(Table1[[#This Row],[Country]])</f>
        <v>Usa</v>
      </c>
      <c r="E548" s="3" t="s">
        <v>28</v>
      </c>
      <c r="F548" s="3" t="s">
        <v>35</v>
      </c>
      <c r="G548" s="13">
        <v>3495</v>
      </c>
      <c r="H548" s="4">
        <v>10</v>
      </c>
      <c r="I548" s="4">
        <v>300</v>
      </c>
      <c r="J548" s="4">
        <f t="shared" si="65"/>
        <v>1048500</v>
      </c>
      <c r="K548" s="4">
        <v>125820</v>
      </c>
      <c r="L548" s="4">
        <f t="shared" si="66"/>
        <v>922680</v>
      </c>
      <c r="M548" s="4">
        <v>873750</v>
      </c>
      <c r="N548" s="4">
        <f t="shared" si="67"/>
        <v>48930</v>
      </c>
      <c r="O548" s="16">
        <f t="shared" si="68"/>
        <v>5.3030303030303032E-2</v>
      </c>
      <c r="P548" s="19">
        <v>41640</v>
      </c>
      <c r="Q548" s="5">
        <f t="shared" si="69"/>
        <v>1</v>
      </c>
      <c r="R548" s="3" t="str">
        <f t="shared" si="70"/>
        <v>January</v>
      </c>
      <c r="S548" s="6">
        <f t="shared" si="71"/>
        <v>2014</v>
      </c>
    </row>
    <row r="549" spans="1:19" ht="12.75" x14ac:dyDescent="0.2">
      <c r="A549" s="2" t="s">
        <v>15</v>
      </c>
      <c r="B549" s="2" t="str">
        <f t="shared" si="64"/>
        <v>Government</v>
      </c>
      <c r="C549" s="2" t="s">
        <v>22</v>
      </c>
      <c r="D549" s="2" t="str">
        <f>PROPER(Table1[[#This Row],[Country]])</f>
        <v>Mexico</v>
      </c>
      <c r="E549" s="3" t="s">
        <v>28</v>
      </c>
      <c r="F549" s="3" t="s">
        <v>35</v>
      </c>
      <c r="G549" s="13">
        <v>886</v>
      </c>
      <c r="H549" s="4">
        <v>10</v>
      </c>
      <c r="I549" s="4">
        <v>350</v>
      </c>
      <c r="J549" s="4">
        <f t="shared" si="65"/>
        <v>310100</v>
      </c>
      <c r="K549" s="4">
        <v>37212</v>
      </c>
      <c r="L549" s="4">
        <f t="shared" si="66"/>
        <v>272888</v>
      </c>
      <c r="M549" s="4">
        <v>230360</v>
      </c>
      <c r="N549" s="4">
        <f t="shared" si="67"/>
        <v>42528</v>
      </c>
      <c r="O549" s="16">
        <f t="shared" si="68"/>
        <v>0.15584415584415584</v>
      </c>
      <c r="P549" s="19">
        <v>41791</v>
      </c>
      <c r="Q549" s="5">
        <f t="shared" si="69"/>
        <v>6</v>
      </c>
      <c r="R549" s="3" t="str">
        <f t="shared" si="70"/>
        <v>June</v>
      </c>
      <c r="S549" s="6">
        <f t="shared" si="71"/>
        <v>2014</v>
      </c>
    </row>
    <row r="550" spans="1:19" ht="12.75" x14ac:dyDescent="0.2">
      <c r="A550" s="2" t="s">
        <v>25</v>
      </c>
      <c r="B550" s="2" t="str">
        <f t="shared" si="64"/>
        <v>Enterprise</v>
      </c>
      <c r="C550" s="2" t="s">
        <v>22</v>
      </c>
      <c r="D550" s="2" t="str">
        <f>PROPER(Table1[[#This Row],[Country]])</f>
        <v>Mexico</v>
      </c>
      <c r="E550" s="3" t="s">
        <v>28</v>
      </c>
      <c r="F550" s="3" t="s">
        <v>35</v>
      </c>
      <c r="G550" s="13">
        <v>2156</v>
      </c>
      <c r="H550" s="4">
        <v>10</v>
      </c>
      <c r="I550" s="4">
        <v>125</v>
      </c>
      <c r="J550" s="4">
        <f t="shared" si="65"/>
        <v>269500</v>
      </c>
      <c r="K550" s="4">
        <v>32340</v>
      </c>
      <c r="L550" s="4">
        <f t="shared" si="66"/>
        <v>237160</v>
      </c>
      <c r="M550" s="4">
        <v>258720</v>
      </c>
      <c r="N550" s="4">
        <f t="shared" si="67"/>
        <v>-21560</v>
      </c>
      <c r="O550" s="16">
        <f t="shared" si="68"/>
        <v>-9.0909090909090912E-2</v>
      </c>
      <c r="P550" s="19">
        <v>41913</v>
      </c>
      <c r="Q550" s="5">
        <f t="shared" si="69"/>
        <v>10</v>
      </c>
      <c r="R550" s="3" t="str">
        <f t="shared" si="70"/>
        <v>October</v>
      </c>
      <c r="S550" s="6">
        <f t="shared" si="71"/>
        <v>2014</v>
      </c>
    </row>
    <row r="551" spans="1:19" ht="12.75" x14ac:dyDescent="0.2">
      <c r="A551" s="2" t="s">
        <v>15</v>
      </c>
      <c r="B551" s="2" t="str">
        <f t="shared" si="64"/>
        <v>Government</v>
      </c>
      <c r="C551" s="2" t="s">
        <v>22</v>
      </c>
      <c r="D551" s="2" t="str">
        <f>PROPER(Table1[[#This Row],[Country]])</f>
        <v>Mexico</v>
      </c>
      <c r="E551" s="3" t="s">
        <v>28</v>
      </c>
      <c r="F551" s="3" t="s">
        <v>35</v>
      </c>
      <c r="G551" s="13">
        <v>905</v>
      </c>
      <c r="H551" s="4">
        <v>10</v>
      </c>
      <c r="I551" s="4">
        <v>20</v>
      </c>
      <c r="J551" s="4">
        <f t="shared" si="65"/>
        <v>18100</v>
      </c>
      <c r="K551" s="4">
        <v>2172</v>
      </c>
      <c r="L551" s="4">
        <f t="shared" si="66"/>
        <v>15928</v>
      </c>
      <c r="M551" s="4">
        <v>9050</v>
      </c>
      <c r="N551" s="4">
        <f t="shared" si="67"/>
        <v>6878</v>
      </c>
      <c r="O551" s="16">
        <f t="shared" si="68"/>
        <v>0.43181818181818182</v>
      </c>
      <c r="P551" s="19">
        <v>41913</v>
      </c>
      <c r="Q551" s="5">
        <f t="shared" si="69"/>
        <v>10</v>
      </c>
      <c r="R551" s="3" t="str">
        <f t="shared" si="70"/>
        <v>October</v>
      </c>
      <c r="S551" s="6">
        <f t="shared" si="71"/>
        <v>2014</v>
      </c>
    </row>
    <row r="552" spans="1:19" ht="12.75" x14ac:dyDescent="0.2">
      <c r="A552" s="2" t="s">
        <v>15</v>
      </c>
      <c r="B552" s="2" t="str">
        <f t="shared" si="64"/>
        <v>Government</v>
      </c>
      <c r="C552" s="2" t="s">
        <v>22</v>
      </c>
      <c r="D552" s="2" t="str">
        <f>PROPER(Table1[[#This Row],[Country]])</f>
        <v>Mexico</v>
      </c>
      <c r="E552" s="3" t="s">
        <v>28</v>
      </c>
      <c r="F552" s="3" t="s">
        <v>35</v>
      </c>
      <c r="G552" s="13">
        <v>1715</v>
      </c>
      <c r="H552" s="4">
        <v>10</v>
      </c>
      <c r="I552" s="4">
        <v>20</v>
      </c>
      <c r="J552" s="4">
        <f t="shared" si="65"/>
        <v>34300</v>
      </c>
      <c r="K552" s="4">
        <v>4116</v>
      </c>
      <c r="L552" s="4">
        <f t="shared" si="66"/>
        <v>30184</v>
      </c>
      <c r="M552" s="4">
        <v>17150</v>
      </c>
      <c r="N552" s="4">
        <f t="shared" si="67"/>
        <v>13034</v>
      </c>
      <c r="O552" s="16">
        <f t="shared" si="68"/>
        <v>0.43181818181818182</v>
      </c>
      <c r="P552" s="19">
        <v>41548</v>
      </c>
      <c r="Q552" s="5">
        <f t="shared" si="69"/>
        <v>10</v>
      </c>
      <c r="R552" s="3" t="str">
        <f t="shared" si="70"/>
        <v>October</v>
      </c>
      <c r="S552" s="6">
        <f t="shared" si="71"/>
        <v>2013</v>
      </c>
    </row>
    <row r="553" spans="1:19" ht="12.75" x14ac:dyDescent="0.2">
      <c r="A553" s="2" t="s">
        <v>15</v>
      </c>
      <c r="B553" s="2" t="str">
        <f t="shared" si="64"/>
        <v>Government</v>
      </c>
      <c r="C553" s="2" t="s">
        <v>21</v>
      </c>
      <c r="D553" s="2" t="str">
        <f>PROPER(Table1[[#This Row],[Country]])</f>
        <v>France</v>
      </c>
      <c r="E553" s="3" t="s">
        <v>28</v>
      </c>
      <c r="F553" s="3" t="s">
        <v>35</v>
      </c>
      <c r="G553" s="13">
        <v>1594</v>
      </c>
      <c r="H553" s="4">
        <v>10</v>
      </c>
      <c r="I553" s="4">
        <v>350</v>
      </c>
      <c r="J553" s="4">
        <f t="shared" si="65"/>
        <v>557900</v>
      </c>
      <c r="K553" s="4">
        <v>66948</v>
      </c>
      <c r="L553" s="4">
        <f t="shared" si="66"/>
        <v>490952</v>
      </c>
      <c r="M553" s="4">
        <v>414440</v>
      </c>
      <c r="N553" s="4">
        <f t="shared" si="67"/>
        <v>76512</v>
      </c>
      <c r="O553" s="16">
        <f t="shared" si="68"/>
        <v>0.15584415584415584</v>
      </c>
      <c r="P553" s="19">
        <v>41944</v>
      </c>
      <c r="Q553" s="5">
        <f t="shared" si="69"/>
        <v>11</v>
      </c>
      <c r="R553" s="3" t="str">
        <f t="shared" si="70"/>
        <v>November</v>
      </c>
      <c r="S553" s="6">
        <f t="shared" si="71"/>
        <v>2014</v>
      </c>
    </row>
    <row r="554" spans="1:19" ht="12.75" x14ac:dyDescent="0.2">
      <c r="A554" s="2" t="s">
        <v>29</v>
      </c>
      <c r="B554" s="2" t="str">
        <f t="shared" si="64"/>
        <v>Small Business</v>
      </c>
      <c r="C554" s="2" t="s">
        <v>19</v>
      </c>
      <c r="D554" s="2" t="str">
        <f>PROPER(Table1[[#This Row],[Country]])</f>
        <v>Germany</v>
      </c>
      <c r="E554" s="3" t="s">
        <v>28</v>
      </c>
      <c r="F554" s="3" t="s">
        <v>35</v>
      </c>
      <c r="G554" s="13">
        <v>1359</v>
      </c>
      <c r="H554" s="4">
        <v>10</v>
      </c>
      <c r="I554" s="4">
        <v>300</v>
      </c>
      <c r="J554" s="4">
        <f t="shared" si="65"/>
        <v>407700</v>
      </c>
      <c r="K554" s="4">
        <v>48924</v>
      </c>
      <c r="L554" s="4">
        <f t="shared" si="66"/>
        <v>358776</v>
      </c>
      <c r="M554" s="4">
        <v>339750</v>
      </c>
      <c r="N554" s="4">
        <f t="shared" si="67"/>
        <v>19026</v>
      </c>
      <c r="O554" s="16">
        <f t="shared" si="68"/>
        <v>5.3030303030303032E-2</v>
      </c>
      <c r="P554" s="19">
        <v>41944</v>
      </c>
      <c r="Q554" s="5">
        <f t="shared" si="69"/>
        <v>11</v>
      </c>
      <c r="R554" s="3" t="str">
        <f t="shared" si="70"/>
        <v>November</v>
      </c>
      <c r="S554" s="6">
        <f t="shared" si="71"/>
        <v>2014</v>
      </c>
    </row>
    <row r="555" spans="1:19" ht="12.75" x14ac:dyDescent="0.2">
      <c r="A555" s="2" t="s">
        <v>29</v>
      </c>
      <c r="B555" s="2" t="str">
        <f t="shared" si="64"/>
        <v>Small Business</v>
      </c>
      <c r="C555" s="2" t="s">
        <v>22</v>
      </c>
      <c r="D555" s="2" t="str">
        <f>PROPER(Table1[[#This Row],[Country]])</f>
        <v>Mexico</v>
      </c>
      <c r="E555" s="3" t="s">
        <v>28</v>
      </c>
      <c r="F555" s="3" t="s">
        <v>35</v>
      </c>
      <c r="G555" s="13">
        <v>2150</v>
      </c>
      <c r="H555" s="4">
        <v>10</v>
      </c>
      <c r="I555" s="4">
        <v>300</v>
      </c>
      <c r="J555" s="4">
        <f t="shared" si="65"/>
        <v>645000</v>
      </c>
      <c r="K555" s="4">
        <v>77400</v>
      </c>
      <c r="L555" s="4">
        <f t="shared" si="66"/>
        <v>567600</v>
      </c>
      <c r="M555" s="4">
        <v>537500</v>
      </c>
      <c r="N555" s="4">
        <f t="shared" si="67"/>
        <v>30100</v>
      </c>
      <c r="O555" s="16">
        <f t="shared" si="68"/>
        <v>5.3030303030303032E-2</v>
      </c>
      <c r="P555" s="19">
        <v>41944</v>
      </c>
      <c r="Q555" s="5">
        <f t="shared" si="69"/>
        <v>11</v>
      </c>
      <c r="R555" s="3" t="str">
        <f t="shared" si="70"/>
        <v>November</v>
      </c>
      <c r="S555" s="6">
        <f t="shared" si="71"/>
        <v>2014</v>
      </c>
    </row>
    <row r="556" spans="1:19" ht="12.75" x14ac:dyDescent="0.2">
      <c r="A556" s="2" t="s">
        <v>15</v>
      </c>
      <c r="B556" s="2" t="str">
        <f t="shared" si="64"/>
        <v>Government</v>
      </c>
      <c r="C556" s="2" t="s">
        <v>22</v>
      </c>
      <c r="D556" s="2" t="str">
        <f>PROPER(Table1[[#This Row],[Country]])</f>
        <v>Mexico</v>
      </c>
      <c r="E556" s="3" t="s">
        <v>28</v>
      </c>
      <c r="F556" s="3" t="s">
        <v>35</v>
      </c>
      <c r="G556" s="13">
        <v>1197</v>
      </c>
      <c r="H556" s="4">
        <v>10</v>
      </c>
      <c r="I556" s="4">
        <v>350</v>
      </c>
      <c r="J556" s="4">
        <f t="shared" si="65"/>
        <v>418950</v>
      </c>
      <c r="K556" s="4">
        <v>50274</v>
      </c>
      <c r="L556" s="4">
        <f t="shared" si="66"/>
        <v>368676</v>
      </c>
      <c r="M556" s="4">
        <v>311220</v>
      </c>
      <c r="N556" s="4">
        <f t="shared" si="67"/>
        <v>57456</v>
      </c>
      <c r="O556" s="16">
        <f t="shared" si="68"/>
        <v>0.15584415584415584</v>
      </c>
      <c r="P556" s="19">
        <v>41944</v>
      </c>
      <c r="Q556" s="5">
        <f t="shared" si="69"/>
        <v>11</v>
      </c>
      <c r="R556" s="3" t="str">
        <f t="shared" si="70"/>
        <v>November</v>
      </c>
      <c r="S556" s="6">
        <f t="shared" si="71"/>
        <v>2014</v>
      </c>
    </row>
    <row r="557" spans="1:19" ht="12.75" x14ac:dyDescent="0.2">
      <c r="A557" s="2" t="s">
        <v>20</v>
      </c>
      <c r="B557" s="2" t="str">
        <f t="shared" si="64"/>
        <v>Midmarket</v>
      </c>
      <c r="C557" s="2" t="s">
        <v>22</v>
      </c>
      <c r="D557" s="2" t="str">
        <f>PROPER(Table1[[#This Row],[Country]])</f>
        <v>Mexico</v>
      </c>
      <c r="E557" s="3" t="s">
        <v>28</v>
      </c>
      <c r="F557" s="3" t="s">
        <v>35</v>
      </c>
      <c r="G557" s="13">
        <v>380</v>
      </c>
      <c r="H557" s="4">
        <v>10</v>
      </c>
      <c r="I557" s="4">
        <v>15</v>
      </c>
      <c r="J557" s="4">
        <f t="shared" si="65"/>
        <v>5700</v>
      </c>
      <c r="K557" s="4">
        <v>684</v>
      </c>
      <c r="L557" s="4">
        <f t="shared" si="66"/>
        <v>5016</v>
      </c>
      <c r="M557" s="4">
        <v>3800</v>
      </c>
      <c r="N557" s="4">
        <f t="shared" si="67"/>
        <v>1216</v>
      </c>
      <c r="O557" s="16">
        <f t="shared" si="68"/>
        <v>0.24242424242424243</v>
      </c>
      <c r="P557" s="19">
        <v>41609</v>
      </c>
      <c r="Q557" s="5">
        <f t="shared" si="69"/>
        <v>12</v>
      </c>
      <c r="R557" s="3" t="str">
        <f t="shared" si="70"/>
        <v>December</v>
      </c>
      <c r="S557" s="6">
        <f t="shared" si="71"/>
        <v>2013</v>
      </c>
    </row>
    <row r="558" spans="1:19" ht="12.75" x14ac:dyDescent="0.2">
      <c r="A558" s="2" t="s">
        <v>15</v>
      </c>
      <c r="B558" s="2" t="str">
        <f t="shared" si="64"/>
        <v>Government</v>
      </c>
      <c r="C558" s="2" t="s">
        <v>22</v>
      </c>
      <c r="D558" s="2" t="str">
        <f>PROPER(Table1[[#This Row],[Country]])</f>
        <v>Mexico</v>
      </c>
      <c r="E558" s="3" t="s">
        <v>28</v>
      </c>
      <c r="F558" s="3" t="s">
        <v>35</v>
      </c>
      <c r="G558" s="13">
        <v>1233</v>
      </c>
      <c r="H558" s="4">
        <v>10</v>
      </c>
      <c r="I558" s="4">
        <v>20</v>
      </c>
      <c r="J558" s="4">
        <f t="shared" si="65"/>
        <v>24660</v>
      </c>
      <c r="K558" s="4">
        <v>2959.2</v>
      </c>
      <c r="L558" s="4">
        <f t="shared" si="66"/>
        <v>21700.799999999999</v>
      </c>
      <c r="M558" s="4">
        <v>12330</v>
      </c>
      <c r="N558" s="4">
        <f t="shared" si="67"/>
        <v>9370.7999999999993</v>
      </c>
      <c r="O558" s="16">
        <f t="shared" si="68"/>
        <v>0.43181818181818182</v>
      </c>
      <c r="P558" s="19">
        <v>41974</v>
      </c>
      <c r="Q558" s="5">
        <f t="shared" si="69"/>
        <v>12</v>
      </c>
      <c r="R558" s="3" t="str">
        <f t="shared" si="70"/>
        <v>December</v>
      </c>
      <c r="S558" s="6">
        <f t="shared" si="71"/>
        <v>2014</v>
      </c>
    </row>
    <row r="559" spans="1:19" ht="12.75" x14ac:dyDescent="0.2">
      <c r="A559" s="2" t="s">
        <v>15</v>
      </c>
      <c r="B559" s="2" t="str">
        <f t="shared" si="64"/>
        <v>Government</v>
      </c>
      <c r="C559" s="2" t="s">
        <v>22</v>
      </c>
      <c r="D559" s="2" t="str">
        <f>PROPER(Table1[[#This Row],[Country]])</f>
        <v>Mexico</v>
      </c>
      <c r="E559" s="3" t="s">
        <v>30</v>
      </c>
      <c r="F559" s="3" t="s">
        <v>35</v>
      </c>
      <c r="G559" s="13">
        <v>1395</v>
      </c>
      <c r="H559" s="4">
        <v>120</v>
      </c>
      <c r="I559" s="4">
        <v>350</v>
      </c>
      <c r="J559" s="4">
        <f t="shared" si="65"/>
        <v>488250</v>
      </c>
      <c r="K559" s="4">
        <v>58590</v>
      </c>
      <c r="L559" s="4">
        <f t="shared" si="66"/>
        <v>429660</v>
      </c>
      <c r="M559" s="4">
        <v>362700</v>
      </c>
      <c r="N559" s="4">
        <f t="shared" si="67"/>
        <v>66960</v>
      </c>
      <c r="O559" s="16">
        <f t="shared" si="68"/>
        <v>0.15584415584415584</v>
      </c>
      <c r="P559" s="19">
        <v>41821</v>
      </c>
      <c r="Q559" s="5">
        <f t="shared" si="69"/>
        <v>7</v>
      </c>
      <c r="R559" s="3" t="str">
        <f t="shared" si="70"/>
        <v>July</v>
      </c>
      <c r="S559" s="6">
        <f t="shared" si="71"/>
        <v>2014</v>
      </c>
    </row>
    <row r="560" spans="1:19" ht="12.75" x14ac:dyDescent="0.2">
      <c r="A560" s="2" t="s">
        <v>15</v>
      </c>
      <c r="B560" s="2" t="str">
        <f t="shared" si="64"/>
        <v>Government</v>
      </c>
      <c r="C560" s="2" t="s">
        <v>71</v>
      </c>
      <c r="D560" s="2" t="str">
        <f>PROPER(Table1[[#This Row],[Country]])</f>
        <v>Usa</v>
      </c>
      <c r="E560" s="3" t="s">
        <v>30</v>
      </c>
      <c r="F560" s="3" t="s">
        <v>35</v>
      </c>
      <c r="G560" s="13">
        <v>986</v>
      </c>
      <c r="H560" s="4">
        <v>120</v>
      </c>
      <c r="I560" s="4">
        <v>350</v>
      </c>
      <c r="J560" s="4">
        <f t="shared" si="65"/>
        <v>345100</v>
      </c>
      <c r="K560" s="4">
        <v>41412</v>
      </c>
      <c r="L560" s="4">
        <f t="shared" si="66"/>
        <v>303688</v>
      </c>
      <c r="M560" s="4">
        <v>256360</v>
      </c>
      <c r="N560" s="4">
        <f t="shared" si="67"/>
        <v>47328</v>
      </c>
      <c r="O560" s="16">
        <f t="shared" si="68"/>
        <v>0.15584415584415584</v>
      </c>
      <c r="P560" s="19">
        <v>41913</v>
      </c>
      <c r="Q560" s="5">
        <f t="shared" si="69"/>
        <v>10</v>
      </c>
      <c r="R560" s="3" t="str">
        <f t="shared" si="70"/>
        <v>October</v>
      </c>
      <c r="S560" s="6">
        <f t="shared" si="71"/>
        <v>2014</v>
      </c>
    </row>
    <row r="561" spans="1:19" ht="12.75" x14ac:dyDescent="0.2">
      <c r="A561" s="2" t="s">
        <v>15</v>
      </c>
      <c r="B561" s="2" t="str">
        <f t="shared" si="64"/>
        <v>Government</v>
      </c>
      <c r="C561" s="2" t="s">
        <v>22</v>
      </c>
      <c r="D561" s="2" t="str">
        <f>PROPER(Table1[[#This Row],[Country]])</f>
        <v>Mexico</v>
      </c>
      <c r="E561" s="3" t="s">
        <v>30</v>
      </c>
      <c r="F561" s="3" t="s">
        <v>35</v>
      </c>
      <c r="G561" s="13">
        <v>905</v>
      </c>
      <c r="H561" s="4">
        <v>120</v>
      </c>
      <c r="I561" s="4">
        <v>20</v>
      </c>
      <c r="J561" s="4">
        <f t="shared" si="65"/>
        <v>18100</v>
      </c>
      <c r="K561" s="4">
        <v>2172</v>
      </c>
      <c r="L561" s="4">
        <f t="shared" si="66"/>
        <v>15928</v>
      </c>
      <c r="M561" s="4">
        <v>9050</v>
      </c>
      <c r="N561" s="4">
        <f t="shared" si="67"/>
        <v>6878</v>
      </c>
      <c r="O561" s="16">
        <f t="shared" si="68"/>
        <v>0.43181818181818182</v>
      </c>
      <c r="P561" s="19">
        <v>41913</v>
      </c>
      <c r="Q561" s="5">
        <f t="shared" si="69"/>
        <v>10</v>
      </c>
      <c r="R561" s="3" t="str">
        <f t="shared" si="70"/>
        <v>October</v>
      </c>
      <c r="S561" s="6">
        <f t="shared" si="71"/>
        <v>2014</v>
      </c>
    </row>
    <row r="562" spans="1:19" ht="12.75" x14ac:dyDescent="0.2">
      <c r="A562" s="2" t="s">
        <v>24</v>
      </c>
      <c r="B562" s="2" t="str">
        <f t="shared" si="64"/>
        <v>Channel Partners</v>
      </c>
      <c r="C562" s="2" t="s">
        <v>16</v>
      </c>
      <c r="D562" s="2" t="str">
        <f>PROPER(Table1[[#This Row],[Country]])</f>
        <v>Canada</v>
      </c>
      <c r="E562" s="3" t="s">
        <v>31</v>
      </c>
      <c r="F562" s="3" t="s">
        <v>35</v>
      </c>
      <c r="G562" s="13">
        <v>2109</v>
      </c>
      <c r="H562" s="4">
        <v>250</v>
      </c>
      <c r="I562" s="4">
        <v>12</v>
      </c>
      <c r="J562" s="4">
        <f t="shared" si="65"/>
        <v>25308</v>
      </c>
      <c r="K562" s="4">
        <v>3036.96</v>
      </c>
      <c r="L562" s="4">
        <f t="shared" si="66"/>
        <v>22271.040000000001</v>
      </c>
      <c r="M562" s="4">
        <v>6327</v>
      </c>
      <c r="N562" s="4">
        <f t="shared" si="67"/>
        <v>15944.04</v>
      </c>
      <c r="O562" s="16">
        <f t="shared" si="68"/>
        <v>0.71590909090909094</v>
      </c>
      <c r="P562" s="19">
        <v>41760</v>
      </c>
      <c r="Q562" s="5">
        <f t="shared" si="69"/>
        <v>5</v>
      </c>
      <c r="R562" s="3" t="str">
        <f t="shared" si="70"/>
        <v>May</v>
      </c>
      <c r="S562" s="6">
        <f t="shared" si="71"/>
        <v>2014</v>
      </c>
    </row>
    <row r="563" spans="1:19" ht="12.75" x14ac:dyDescent="0.2">
      <c r="A563" s="2" t="s">
        <v>20</v>
      </c>
      <c r="B563" s="2" t="str">
        <f t="shared" si="64"/>
        <v>Midmarket</v>
      </c>
      <c r="C563" s="2" t="s">
        <v>21</v>
      </c>
      <c r="D563" s="2" t="str">
        <f>PROPER(Table1[[#This Row],[Country]])</f>
        <v>France</v>
      </c>
      <c r="E563" s="3" t="s">
        <v>31</v>
      </c>
      <c r="F563" s="3" t="s">
        <v>35</v>
      </c>
      <c r="G563" s="13">
        <v>3874.5</v>
      </c>
      <c r="H563" s="4">
        <v>250</v>
      </c>
      <c r="I563" s="4">
        <v>15</v>
      </c>
      <c r="J563" s="4">
        <f t="shared" si="65"/>
        <v>58117.5</v>
      </c>
      <c r="K563" s="4">
        <v>6974.0999999999995</v>
      </c>
      <c r="L563" s="4">
        <f t="shared" si="66"/>
        <v>51143.4</v>
      </c>
      <c r="M563" s="4">
        <v>38745</v>
      </c>
      <c r="N563" s="4">
        <f t="shared" si="67"/>
        <v>12398.400000000001</v>
      </c>
      <c r="O563" s="16">
        <f t="shared" si="68"/>
        <v>0.24242424242424246</v>
      </c>
      <c r="P563" s="19">
        <v>41821</v>
      </c>
      <c r="Q563" s="5">
        <f t="shared" si="69"/>
        <v>7</v>
      </c>
      <c r="R563" s="3" t="str">
        <f t="shared" si="70"/>
        <v>July</v>
      </c>
      <c r="S563" s="6">
        <f t="shared" si="71"/>
        <v>2014</v>
      </c>
    </row>
    <row r="564" spans="1:19" ht="12.75" x14ac:dyDescent="0.2">
      <c r="A564" s="2" t="s">
        <v>15</v>
      </c>
      <c r="B564" s="2" t="str">
        <f t="shared" si="64"/>
        <v>Government</v>
      </c>
      <c r="C564" s="2" t="s">
        <v>16</v>
      </c>
      <c r="D564" s="2" t="str">
        <f>PROPER(Table1[[#This Row],[Country]])</f>
        <v>Canada</v>
      </c>
      <c r="E564" s="3" t="s">
        <v>31</v>
      </c>
      <c r="F564" s="3" t="s">
        <v>35</v>
      </c>
      <c r="G564" s="13">
        <v>623</v>
      </c>
      <c r="H564" s="4">
        <v>250</v>
      </c>
      <c r="I564" s="4">
        <v>350</v>
      </c>
      <c r="J564" s="4">
        <f t="shared" si="65"/>
        <v>218050</v>
      </c>
      <c r="K564" s="4">
        <v>26166</v>
      </c>
      <c r="L564" s="4">
        <f t="shared" si="66"/>
        <v>191884</v>
      </c>
      <c r="M564" s="4">
        <v>161980</v>
      </c>
      <c r="N564" s="4">
        <f t="shared" si="67"/>
        <v>29904</v>
      </c>
      <c r="O564" s="16">
        <f t="shared" si="68"/>
        <v>0.15584415584415584</v>
      </c>
      <c r="P564" s="19">
        <v>41518</v>
      </c>
      <c r="Q564" s="5">
        <f t="shared" si="69"/>
        <v>9</v>
      </c>
      <c r="R564" s="3" t="str">
        <f t="shared" si="70"/>
        <v>September</v>
      </c>
      <c r="S564" s="6">
        <f t="shared" si="71"/>
        <v>2013</v>
      </c>
    </row>
    <row r="565" spans="1:19" ht="12.75" x14ac:dyDescent="0.2">
      <c r="A565" s="2" t="s">
        <v>15</v>
      </c>
      <c r="B565" s="2" t="str">
        <f t="shared" si="64"/>
        <v>Government</v>
      </c>
      <c r="C565" s="2" t="s">
        <v>71</v>
      </c>
      <c r="D565" s="2" t="str">
        <f>PROPER(Table1[[#This Row],[Country]])</f>
        <v>Usa</v>
      </c>
      <c r="E565" s="3" t="s">
        <v>31</v>
      </c>
      <c r="F565" s="3" t="s">
        <v>35</v>
      </c>
      <c r="G565" s="13">
        <v>986</v>
      </c>
      <c r="H565" s="4">
        <v>250</v>
      </c>
      <c r="I565" s="4">
        <v>350</v>
      </c>
      <c r="J565" s="4">
        <f t="shared" si="65"/>
        <v>345100</v>
      </c>
      <c r="K565" s="4">
        <v>41412</v>
      </c>
      <c r="L565" s="4">
        <f t="shared" si="66"/>
        <v>303688</v>
      </c>
      <c r="M565" s="4">
        <v>256360</v>
      </c>
      <c r="N565" s="4">
        <f t="shared" si="67"/>
        <v>47328</v>
      </c>
      <c r="O565" s="16">
        <f t="shared" si="68"/>
        <v>0.15584415584415584</v>
      </c>
      <c r="P565" s="19">
        <v>41913</v>
      </c>
      <c r="Q565" s="5">
        <f t="shared" si="69"/>
        <v>10</v>
      </c>
      <c r="R565" s="3" t="str">
        <f t="shared" si="70"/>
        <v>October</v>
      </c>
      <c r="S565" s="6">
        <f t="shared" si="71"/>
        <v>2014</v>
      </c>
    </row>
    <row r="566" spans="1:19" ht="12.75" x14ac:dyDescent="0.2">
      <c r="A566" s="2" t="s">
        <v>25</v>
      </c>
      <c r="B566" s="2" t="str">
        <f t="shared" si="64"/>
        <v>Enterprise</v>
      </c>
      <c r="C566" s="2" t="s">
        <v>71</v>
      </c>
      <c r="D566" s="2" t="str">
        <f>PROPER(Table1[[#This Row],[Country]])</f>
        <v>Usa</v>
      </c>
      <c r="E566" s="3" t="s">
        <v>31</v>
      </c>
      <c r="F566" s="3" t="s">
        <v>35</v>
      </c>
      <c r="G566" s="13">
        <v>2387</v>
      </c>
      <c r="H566" s="4">
        <v>250</v>
      </c>
      <c r="I566" s="4">
        <v>125</v>
      </c>
      <c r="J566" s="4">
        <f t="shared" si="65"/>
        <v>298375</v>
      </c>
      <c r="K566" s="4">
        <v>35805</v>
      </c>
      <c r="L566" s="4">
        <f t="shared" si="66"/>
        <v>262570</v>
      </c>
      <c r="M566" s="4">
        <v>286440</v>
      </c>
      <c r="N566" s="4">
        <f t="shared" si="67"/>
        <v>-23870</v>
      </c>
      <c r="O566" s="16">
        <f t="shared" si="68"/>
        <v>-9.0909090909090912E-2</v>
      </c>
      <c r="P566" s="19">
        <v>41944</v>
      </c>
      <c r="Q566" s="5">
        <f t="shared" si="69"/>
        <v>11</v>
      </c>
      <c r="R566" s="3" t="str">
        <f t="shared" si="70"/>
        <v>November</v>
      </c>
      <c r="S566" s="6">
        <f t="shared" si="71"/>
        <v>2014</v>
      </c>
    </row>
    <row r="567" spans="1:19" ht="12.75" x14ac:dyDescent="0.2">
      <c r="A567" s="2" t="s">
        <v>15</v>
      </c>
      <c r="B567" s="2" t="str">
        <f t="shared" si="64"/>
        <v>Government</v>
      </c>
      <c r="C567" s="2" t="s">
        <v>22</v>
      </c>
      <c r="D567" s="2" t="str">
        <f>PROPER(Table1[[#This Row],[Country]])</f>
        <v>Mexico</v>
      </c>
      <c r="E567" s="3" t="s">
        <v>31</v>
      </c>
      <c r="F567" s="3" t="s">
        <v>35</v>
      </c>
      <c r="G567" s="13">
        <v>1233</v>
      </c>
      <c r="H567" s="4">
        <v>250</v>
      </c>
      <c r="I567" s="4">
        <v>20</v>
      </c>
      <c r="J567" s="4">
        <f t="shared" si="65"/>
        <v>24660</v>
      </c>
      <c r="K567" s="4">
        <v>2959.2</v>
      </c>
      <c r="L567" s="4">
        <f t="shared" si="66"/>
        <v>21700.799999999999</v>
      </c>
      <c r="M567" s="4">
        <v>12330</v>
      </c>
      <c r="N567" s="4">
        <f t="shared" si="67"/>
        <v>9370.7999999999993</v>
      </c>
      <c r="O567" s="16">
        <f t="shared" si="68"/>
        <v>0.43181818181818182</v>
      </c>
      <c r="P567" s="19">
        <v>41974</v>
      </c>
      <c r="Q567" s="5">
        <f t="shared" si="69"/>
        <v>12</v>
      </c>
      <c r="R567" s="3" t="str">
        <f t="shared" si="70"/>
        <v>December</v>
      </c>
      <c r="S567" s="6">
        <f t="shared" si="71"/>
        <v>2014</v>
      </c>
    </row>
    <row r="568" spans="1:19" ht="12.75" x14ac:dyDescent="0.2">
      <c r="A568" s="2" t="s">
        <v>15</v>
      </c>
      <c r="B568" s="2" t="str">
        <f t="shared" si="64"/>
        <v>Government</v>
      </c>
      <c r="C568" s="2" t="s">
        <v>71</v>
      </c>
      <c r="D568" s="2" t="str">
        <f>PROPER(Table1[[#This Row],[Country]])</f>
        <v>Usa</v>
      </c>
      <c r="E568" s="3" t="s">
        <v>32</v>
      </c>
      <c r="F568" s="3" t="s">
        <v>35</v>
      </c>
      <c r="G568" s="13">
        <v>270</v>
      </c>
      <c r="H568" s="4">
        <v>260</v>
      </c>
      <c r="I568" s="4">
        <v>350</v>
      </c>
      <c r="J568" s="4">
        <f t="shared" si="65"/>
        <v>94500</v>
      </c>
      <c r="K568" s="4">
        <v>11340</v>
      </c>
      <c r="L568" s="4">
        <f t="shared" si="66"/>
        <v>83160</v>
      </c>
      <c r="M568" s="4">
        <v>70200</v>
      </c>
      <c r="N568" s="4">
        <f t="shared" si="67"/>
        <v>12960</v>
      </c>
      <c r="O568" s="16">
        <f t="shared" si="68"/>
        <v>0.15584415584415584</v>
      </c>
      <c r="P568" s="19">
        <v>41671</v>
      </c>
      <c r="Q568" s="5">
        <f t="shared" si="69"/>
        <v>2</v>
      </c>
      <c r="R568" s="3" t="str">
        <f t="shared" si="70"/>
        <v>February</v>
      </c>
      <c r="S568" s="6">
        <f t="shared" si="71"/>
        <v>2014</v>
      </c>
    </row>
    <row r="569" spans="1:19" ht="12.75" x14ac:dyDescent="0.2">
      <c r="A569" s="2" t="s">
        <v>15</v>
      </c>
      <c r="B569" s="2" t="str">
        <f t="shared" si="64"/>
        <v>Government</v>
      </c>
      <c r="C569" s="2" t="s">
        <v>21</v>
      </c>
      <c r="D569" s="2" t="str">
        <f>PROPER(Table1[[#This Row],[Country]])</f>
        <v>France</v>
      </c>
      <c r="E569" s="3" t="s">
        <v>32</v>
      </c>
      <c r="F569" s="3" t="s">
        <v>35</v>
      </c>
      <c r="G569" s="13">
        <v>3421.5</v>
      </c>
      <c r="H569" s="4">
        <v>260</v>
      </c>
      <c r="I569" s="4">
        <v>7</v>
      </c>
      <c r="J569" s="4">
        <f t="shared" si="65"/>
        <v>23950.5</v>
      </c>
      <c r="K569" s="4">
        <v>2874.06</v>
      </c>
      <c r="L569" s="4">
        <f t="shared" si="66"/>
        <v>21076.44</v>
      </c>
      <c r="M569" s="4">
        <v>17107.5</v>
      </c>
      <c r="N569" s="4">
        <f t="shared" si="67"/>
        <v>3968.9399999999987</v>
      </c>
      <c r="O569" s="16">
        <f t="shared" si="68"/>
        <v>0.18831168831168826</v>
      </c>
      <c r="P569" s="19">
        <v>41821</v>
      </c>
      <c r="Q569" s="5">
        <f t="shared" si="69"/>
        <v>7</v>
      </c>
      <c r="R569" s="3" t="str">
        <f t="shared" si="70"/>
        <v>July</v>
      </c>
      <c r="S569" s="6">
        <f t="shared" si="71"/>
        <v>2014</v>
      </c>
    </row>
    <row r="570" spans="1:19" ht="12.75" x14ac:dyDescent="0.2">
      <c r="A570" s="2" t="s">
        <v>15</v>
      </c>
      <c r="B570" s="2" t="str">
        <f t="shared" si="64"/>
        <v>Government</v>
      </c>
      <c r="C570" s="2" t="s">
        <v>16</v>
      </c>
      <c r="D570" s="2" t="str">
        <f>PROPER(Table1[[#This Row],[Country]])</f>
        <v>Canada</v>
      </c>
      <c r="E570" s="3" t="s">
        <v>32</v>
      </c>
      <c r="F570" s="3" t="s">
        <v>35</v>
      </c>
      <c r="G570" s="13">
        <v>2734</v>
      </c>
      <c r="H570" s="4">
        <v>260</v>
      </c>
      <c r="I570" s="4">
        <v>7</v>
      </c>
      <c r="J570" s="4">
        <f t="shared" si="65"/>
        <v>19138</v>
      </c>
      <c r="K570" s="4">
        <v>2296.56</v>
      </c>
      <c r="L570" s="4">
        <f t="shared" si="66"/>
        <v>16841.439999999999</v>
      </c>
      <c r="M570" s="4">
        <v>13670</v>
      </c>
      <c r="N570" s="4">
        <f t="shared" si="67"/>
        <v>3171.4399999999987</v>
      </c>
      <c r="O570" s="16">
        <f t="shared" si="68"/>
        <v>0.18831168831168824</v>
      </c>
      <c r="P570" s="19">
        <v>41913</v>
      </c>
      <c r="Q570" s="5">
        <f t="shared" si="69"/>
        <v>10</v>
      </c>
      <c r="R570" s="3" t="str">
        <f t="shared" si="70"/>
        <v>October</v>
      </c>
      <c r="S570" s="6">
        <f t="shared" si="71"/>
        <v>2014</v>
      </c>
    </row>
    <row r="571" spans="1:19" ht="12.75" x14ac:dyDescent="0.2">
      <c r="A571" s="2" t="s">
        <v>20</v>
      </c>
      <c r="B571" s="2" t="str">
        <f t="shared" si="64"/>
        <v>Midmarket</v>
      </c>
      <c r="C571" s="2" t="s">
        <v>71</v>
      </c>
      <c r="D571" s="2" t="str">
        <f>PROPER(Table1[[#This Row],[Country]])</f>
        <v>Usa</v>
      </c>
      <c r="E571" s="3" t="s">
        <v>32</v>
      </c>
      <c r="F571" s="3" t="s">
        <v>35</v>
      </c>
      <c r="G571" s="13">
        <v>2548</v>
      </c>
      <c r="H571" s="4">
        <v>260</v>
      </c>
      <c r="I571" s="4">
        <v>15</v>
      </c>
      <c r="J571" s="4">
        <f t="shared" si="65"/>
        <v>38220</v>
      </c>
      <c r="K571" s="4">
        <v>4586.3999999999996</v>
      </c>
      <c r="L571" s="4">
        <f t="shared" si="66"/>
        <v>33633.599999999999</v>
      </c>
      <c r="M571" s="4">
        <v>25480</v>
      </c>
      <c r="N571" s="4">
        <f t="shared" si="67"/>
        <v>8153.5999999999985</v>
      </c>
      <c r="O571" s="16">
        <f t="shared" si="68"/>
        <v>0.2424242424242424</v>
      </c>
      <c r="P571" s="19">
        <v>41579</v>
      </c>
      <c r="Q571" s="5">
        <f t="shared" si="69"/>
        <v>11</v>
      </c>
      <c r="R571" s="3" t="str">
        <f t="shared" si="70"/>
        <v>November</v>
      </c>
      <c r="S571" s="6">
        <f t="shared" si="71"/>
        <v>2013</v>
      </c>
    </row>
    <row r="572" spans="1:19" ht="12.75" x14ac:dyDescent="0.2">
      <c r="A572" s="2" t="s">
        <v>15</v>
      </c>
      <c r="B572" s="2" t="str">
        <f t="shared" si="64"/>
        <v>Government</v>
      </c>
      <c r="C572" s="2" t="s">
        <v>21</v>
      </c>
      <c r="D572" s="2" t="str">
        <f>PROPER(Table1[[#This Row],[Country]])</f>
        <v>France</v>
      </c>
      <c r="E572" s="3" t="s">
        <v>17</v>
      </c>
      <c r="F572" s="3" t="s">
        <v>35</v>
      </c>
      <c r="G572" s="13">
        <v>2521.5</v>
      </c>
      <c r="H572" s="4">
        <v>3</v>
      </c>
      <c r="I572" s="4">
        <v>20</v>
      </c>
      <c r="J572" s="4">
        <f t="shared" si="65"/>
        <v>50430</v>
      </c>
      <c r="K572" s="4">
        <v>6051.6</v>
      </c>
      <c r="L572" s="4">
        <f t="shared" si="66"/>
        <v>44378.400000000001</v>
      </c>
      <c r="M572" s="4">
        <v>25215</v>
      </c>
      <c r="N572" s="4">
        <f t="shared" si="67"/>
        <v>19163.400000000001</v>
      </c>
      <c r="O572" s="16">
        <f t="shared" si="68"/>
        <v>0.43181818181818182</v>
      </c>
      <c r="P572" s="19">
        <v>41640</v>
      </c>
      <c r="Q572" s="5">
        <f t="shared" si="69"/>
        <v>1</v>
      </c>
      <c r="R572" s="3" t="str">
        <f t="shared" si="70"/>
        <v>January</v>
      </c>
      <c r="S572" s="6">
        <f t="shared" si="71"/>
        <v>2014</v>
      </c>
    </row>
    <row r="573" spans="1:19" ht="12.75" x14ac:dyDescent="0.2">
      <c r="A573" s="2" t="s">
        <v>24</v>
      </c>
      <c r="B573" s="2" t="str">
        <f t="shared" si="64"/>
        <v>Channel Partners</v>
      </c>
      <c r="C573" s="2" t="s">
        <v>22</v>
      </c>
      <c r="D573" s="2" t="str">
        <f>PROPER(Table1[[#This Row],[Country]])</f>
        <v>Mexico</v>
      </c>
      <c r="E573" s="3" t="s">
        <v>23</v>
      </c>
      <c r="F573" s="3" t="s">
        <v>35</v>
      </c>
      <c r="G573" s="13">
        <v>2661</v>
      </c>
      <c r="H573" s="4">
        <v>5</v>
      </c>
      <c r="I573" s="4">
        <v>12</v>
      </c>
      <c r="J573" s="4">
        <f t="shared" si="65"/>
        <v>31932</v>
      </c>
      <c r="K573" s="4">
        <v>3831.84</v>
      </c>
      <c r="L573" s="4">
        <f t="shared" si="66"/>
        <v>28100.16</v>
      </c>
      <c r="M573" s="4">
        <v>7983</v>
      </c>
      <c r="N573" s="4">
        <f t="shared" si="67"/>
        <v>20117.16</v>
      </c>
      <c r="O573" s="16">
        <f t="shared" si="68"/>
        <v>0.71590909090909094</v>
      </c>
      <c r="P573" s="19">
        <v>41760</v>
      </c>
      <c r="Q573" s="5">
        <f t="shared" si="69"/>
        <v>5</v>
      </c>
      <c r="R573" s="3" t="str">
        <f t="shared" si="70"/>
        <v>May</v>
      </c>
      <c r="S573" s="6">
        <f t="shared" si="71"/>
        <v>2014</v>
      </c>
    </row>
    <row r="574" spans="1:19" ht="12.75" x14ac:dyDescent="0.2">
      <c r="A574" s="2" t="s">
        <v>15</v>
      </c>
      <c r="B574" s="2" t="str">
        <f t="shared" si="64"/>
        <v>Government</v>
      </c>
      <c r="C574" s="2" t="s">
        <v>19</v>
      </c>
      <c r="D574" s="2" t="str">
        <f>PROPER(Table1[[#This Row],[Country]])</f>
        <v>Germany</v>
      </c>
      <c r="E574" s="3" t="s">
        <v>28</v>
      </c>
      <c r="F574" s="3" t="s">
        <v>35</v>
      </c>
      <c r="G574" s="13">
        <v>1531</v>
      </c>
      <c r="H574" s="4">
        <v>10</v>
      </c>
      <c r="I574" s="4">
        <v>20</v>
      </c>
      <c r="J574" s="4">
        <f t="shared" si="65"/>
        <v>30620</v>
      </c>
      <c r="K574" s="4">
        <v>3674.4</v>
      </c>
      <c r="L574" s="4">
        <f t="shared" si="66"/>
        <v>26945.599999999999</v>
      </c>
      <c r="M574" s="4">
        <v>15310</v>
      </c>
      <c r="N574" s="4">
        <f t="shared" si="67"/>
        <v>11635.599999999999</v>
      </c>
      <c r="O574" s="16">
        <f t="shared" si="68"/>
        <v>0.43181818181818177</v>
      </c>
      <c r="P574" s="19">
        <v>41974</v>
      </c>
      <c r="Q574" s="5">
        <f t="shared" si="69"/>
        <v>12</v>
      </c>
      <c r="R574" s="3" t="str">
        <f t="shared" si="70"/>
        <v>December</v>
      </c>
      <c r="S574" s="6">
        <f t="shared" si="71"/>
        <v>2014</v>
      </c>
    </row>
    <row r="575" spans="1:19" ht="12.75" x14ac:dyDescent="0.2">
      <c r="A575" s="2" t="s">
        <v>15</v>
      </c>
      <c r="B575" s="2" t="str">
        <f t="shared" si="64"/>
        <v>Government</v>
      </c>
      <c r="C575" s="2" t="s">
        <v>21</v>
      </c>
      <c r="D575" s="2" t="str">
        <f>PROPER(Table1[[#This Row],[Country]])</f>
        <v>France</v>
      </c>
      <c r="E575" s="3" t="s">
        <v>31</v>
      </c>
      <c r="F575" s="3" t="s">
        <v>35</v>
      </c>
      <c r="G575" s="13">
        <v>1491</v>
      </c>
      <c r="H575" s="4">
        <v>250</v>
      </c>
      <c r="I575" s="4">
        <v>7</v>
      </c>
      <c r="J575" s="4">
        <f t="shared" si="65"/>
        <v>10437</v>
      </c>
      <c r="K575" s="4">
        <v>1252.44</v>
      </c>
      <c r="L575" s="4">
        <f t="shared" si="66"/>
        <v>9184.56</v>
      </c>
      <c r="M575" s="4">
        <v>7455</v>
      </c>
      <c r="N575" s="4">
        <f t="shared" si="67"/>
        <v>1729.5599999999995</v>
      </c>
      <c r="O575" s="16">
        <f t="shared" si="68"/>
        <v>0.18831168831168826</v>
      </c>
      <c r="P575" s="19">
        <v>41699</v>
      </c>
      <c r="Q575" s="5">
        <f t="shared" si="69"/>
        <v>3</v>
      </c>
      <c r="R575" s="3" t="str">
        <f t="shared" si="70"/>
        <v>March</v>
      </c>
      <c r="S575" s="6">
        <f t="shared" si="71"/>
        <v>2014</v>
      </c>
    </row>
    <row r="576" spans="1:19" ht="12.75" x14ac:dyDescent="0.2">
      <c r="A576" s="2" t="s">
        <v>15</v>
      </c>
      <c r="B576" s="2" t="str">
        <f t="shared" si="64"/>
        <v>Government</v>
      </c>
      <c r="C576" s="2" t="s">
        <v>19</v>
      </c>
      <c r="D576" s="2" t="str">
        <f>PROPER(Table1[[#This Row],[Country]])</f>
        <v>Germany</v>
      </c>
      <c r="E576" s="3" t="s">
        <v>31</v>
      </c>
      <c r="F576" s="3" t="s">
        <v>35</v>
      </c>
      <c r="G576" s="13">
        <v>1531</v>
      </c>
      <c r="H576" s="4">
        <v>250</v>
      </c>
      <c r="I576" s="4">
        <v>20</v>
      </c>
      <c r="J576" s="4">
        <f t="shared" si="65"/>
        <v>30620</v>
      </c>
      <c r="K576" s="4">
        <v>3674.4</v>
      </c>
      <c r="L576" s="4">
        <f t="shared" si="66"/>
        <v>26945.599999999999</v>
      </c>
      <c r="M576" s="4">
        <v>15310</v>
      </c>
      <c r="N576" s="4">
        <f t="shared" si="67"/>
        <v>11635.599999999999</v>
      </c>
      <c r="O576" s="16">
        <f t="shared" si="68"/>
        <v>0.43181818181818177</v>
      </c>
      <c r="P576" s="19">
        <v>41974</v>
      </c>
      <c r="Q576" s="5">
        <f t="shared" si="69"/>
        <v>12</v>
      </c>
      <c r="R576" s="3" t="str">
        <f t="shared" si="70"/>
        <v>December</v>
      </c>
      <c r="S576" s="6">
        <f t="shared" si="71"/>
        <v>2014</v>
      </c>
    </row>
    <row r="577" spans="1:19" ht="12.75" x14ac:dyDescent="0.2">
      <c r="A577" s="2" t="s">
        <v>24</v>
      </c>
      <c r="B577" s="2" t="str">
        <f t="shared" si="64"/>
        <v>Channel Partners</v>
      </c>
      <c r="C577" s="2" t="s">
        <v>16</v>
      </c>
      <c r="D577" s="2" t="str">
        <f>PROPER(Table1[[#This Row],[Country]])</f>
        <v>Canada</v>
      </c>
      <c r="E577" s="3" t="s">
        <v>32</v>
      </c>
      <c r="F577" s="3" t="s">
        <v>35</v>
      </c>
      <c r="G577" s="13">
        <v>2761</v>
      </c>
      <c r="H577" s="4">
        <v>260</v>
      </c>
      <c r="I577" s="4">
        <v>12</v>
      </c>
      <c r="J577" s="4">
        <f t="shared" si="65"/>
        <v>33132</v>
      </c>
      <c r="K577" s="4">
        <v>3975.84</v>
      </c>
      <c r="L577" s="4">
        <f t="shared" si="66"/>
        <v>29156.16</v>
      </c>
      <c r="M577" s="4">
        <v>8283</v>
      </c>
      <c r="N577" s="4">
        <f t="shared" si="67"/>
        <v>20873.16</v>
      </c>
      <c r="O577" s="16">
        <f t="shared" si="68"/>
        <v>0.71590909090909094</v>
      </c>
      <c r="P577" s="19">
        <v>41518</v>
      </c>
      <c r="Q577" s="5">
        <f t="shared" si="69"/>
        <v>9</v>
      </c>
      <c r="R577" s="3" t="str">
        <f t="shared" si="70"/>
        <v>September</v>
      </c>
      <c r="S577" s="6">
        <f t="shared" si="71"/>
        <v>2013</v>
      </c>
    </row>
    <row r="578" spans="1:19" ht="12.75" x14ac:dyDescent="0.2">
      <c r="A578" s="2" t="s">
        <v>20</v>
      </c>
      <c r="B578" s="2" t="str">
        <f t="shared" ref="B578:B641" si="72">PROPER(A578)</f>
        <v>Midmarket</v>
      </c>
      <c r="C578" s="2" t="s">
        <v>71</v>
      </c>
      <c r="D578" s="2" t="str">
        <f>PROPER(Table1[[#This Row],[Country]])</f>
        <v>Usa</v>
      </c>
      <c r="E578" s="3" t="s">
        <v>17</v>
      </c>
      <c r="F578" s="3" t="s">
        <v>35</v>
      </c>
      <c r="G578" s="13">
        <v>2567</v>
      </c>
      <c r="H578" s="4">
        <v>3</v>
      </c>
      <c r="I578" s="4">
        <v>15</v>
      </c>
      <c r="J578" s="4">
        <f t="shared" si="65"/>
        <v>38505</v>
      </c>
      <c r="K578" s="4">
        <v>5005.6499999999996</v>
      </c>
      <c r="L578" s="4">
        <f t="shared" si="66"/>
        <v>33499.35</v>
      </c>
      <c r="M578" s="4">
        <v>25670</v>
      </c>
      <c r="N578" s="4">
        <f t="shared" si="67"/>
        <v>7829.3499999999985</v>
      </c>
      <c r="O578" s="16">
        <f t="shared" si="68"/>
        <v>0.23371647509578541</v>
      </c>
      <c r="P578" s="19">
        <v>41791</v>
      </c>
      <c r="Q578" s="5">
        <f t="shared" si="69"/>
        <v>6</v>
      </c>
      <c r="R578" s="3" t="str">
        <f t="shared" si="70"/>
        <v>June</v>
      </c>
      <c r="S578" s="6">
        <f t="shared" si="71"/>
        <v>2014</v>
      </c>
    </row>
    <row r="579" spans="1:19" ht="12.75" x14ac:dyDescent="0.2">
      <c r="A579" s="2" t="s">
        <v>20</v>
      </c>
      <c r="B579" s="2" t="str">
        <f t="shared" si="72"/>
        <v>Midmarket</v>
      </c>
      <c r="C579" s="2" t="s">
        <v>71</v>
      </c>
      <c r="D579" s="2" t="str">
        <f>PROPER(Table1[[#This Row],[Country]])</f>
        <v>Usa</v>
      </c>
      <c r="E579" s="3" t="s">
        <v>31</v>
      </c>
      <c r="F579" s="3" t="s">
        <v>35</v>
      </c>
      <c r="G579" s="13">
        <v>2567</v>
      </c>
      <c r="H579" s="4">
        <v>250</v>
      </c>
      <c r="I579" s="4">
        <v>15</v>
      </c>
      <c r="J579" s="4">
        <f t="shared" ref="J579:J642" si="73">G579*I579</f>
        <v>38505</v>
      </c>
      <c r="K579" s="4">
        <v>5005.6499999999996</v>
      </c>
      <c r="L579" s="4">
        <f t="shared" ref="L579:L642" si="74">J579-K579</f>
        <v>33499.35</v>
      </c>
      <c r="M579" s="4">
        <v>25670</v>
      </c>
      <c r="N579" s="4">
        <f t="shared" ref="N579:N642" si="75">L579-M579</f>
        <v>7829.3499999999985</v>
      </c>
      <c r="O579" s="16">
        <f t="shared" ref="O579:O642" si="76">N579/L579</f>
        <v>0.23371647509578541</v>
      </c>
      <c r="P579" s="19">
        <v>41791</v>
      </c>
      <c r="Q579" s="5">
        <f t="shared" ref="Q579:Q642" si="77">MONTH(P579)</f>
        <v>6</v>
      </c>
      <c r="R579" s="3" t="str">
        <f t="shared" ref="R579:R642" si="78">TEXT(P579,"mmmm")</f>
        <v>June</v>
      </c>
      <c r="S579" s="6">
        <f t="shared" ref="S579:S642" si="79">YEAR(P579)</f>
        <v>2014</v>
      </c>
    </row>
    <row r="580" spans="1:19" ht="12.75" x14ac:dyDescent="0.2">
      <c r="A580" s="2" t="s">
        <v>15</v>
      </c>
      <c r="B580" s="2" t="str">
        <f t="shared" si="72"/>
        <v>Government</v>
      </c>
      <c r="C580" s="2" t="s">
        <v>16</v>
      </c>
      <c r="D580" s="2" t="str">
        <f>PROPER(Table1[[#This Row],[Country]])</f>
        <v>Canada</v>
      </c>
      <c r="E580" s="3" t="s">
        <v>17</v>
      </c>
      <c r="F580" s="3" t="s">
        <v>35</v>
      </c>
      <c r="G580" s="13">
        <v>923</v>
      </c>
      <c r="H580" s="4">
        <v>3</v>
      </c>
      <c r="I580" s="4">
        <v>350</v>
      </c>
      <c r="J580" s="4">
        <f t="shared" si="73"/>
        <v>323050</v>
      </c>
      <c r="K580" s="4">
        <v>41996.5</v>
      </c>
      <c r="L580" s="4">
        <f t="shared" si="74"/>
        <v>281053.5</v>
      </c>
      <c r="M580" s="4">
        <v>239980</v>
      </c>
      <c r="N580" s="4">
        <f t="shared" si="75"/>
        <v>41073.5</v>
      </c>
      <c r="O580" s="16">
        <f t="shared" si="76"/>
        <v>0.14614121510673234</v>
      </c>
      <c r="P580" s="19">
        <v>41699</v>
      </c>
      <c r="Q580" s="5">
        <f t="shared" si="77"/>
        <v>3</v>
      </c>
      <c r="R580" s="3" t="str">
        <f t="shared" si="78"/>
        <v>March</v>
      </c>
      <c r="S580" s="6">
        <f t="shared" si="79"/>
        <v>2014</v>
      </c>
    </row>
    <row r="581" spans="1:19" ht="12.75" x14ac:dyDescent="0.2">
      <c r="A581" s="2" t="s">
        <v>15</v>
      </c>
      <c r="B581" s="2" t="str">
        <f t="shared" si="72"/>
        <v>Government</v>
      </c>
      <c r="C581" s="2" t="s">
        <v>21</v>
      </c>
      <c r="D581" s="2" t="str">
        <f>PROPER(Table1[[#This Row],[Country]])</f>
        <v>France</v>
      </c>
      <c r="E581" s="3" t="s">
        <v>17</v>
      </c>
      <c r="F581" s="3" t="s">
        <v>35</v>
      </c>
      <c r="G581" s="13">
        <v>1790</v>
      </c>
      <c r="H581" s="4">
        <v>3</v>
      </c>
      <c r="I581" s="4">
        <v>350</v>
      </c>
      <c r="J581" s="4">
        <f t="shared" si="73"/>
        <v>626500</v>
      </c>
      <c r="K581" s="4">
        <v>81445</v>
      </c>
      <c r="L581" s="4">
        <f t="shared" si="74"/>
        <v>545055</v>
      </c>
      <c r="M581" s="4">
        <v>465400</v>
      </c>
      <c r="N581" s="4">
        <f t="shared" si="75"/>
        <v>79655</v>
      </c>
      <c r="O581" s="16">
        <f t="shared" si="76"/>
        <v>0.14614121510673234</v>
      </c>
      <c r="P581" s="19">
        <v>41699</v>
      </c>
      <c r="Q581" s="5">
        <f t="shared" si="77"/>
        <v>3</v>
      </c>
      <c r="R581" s="3" t="str">
        <f t="shared" si="78"/>
        <v>March</v>
      </c>
      <c r="S581" s="6">
        <f t="shared" si="79"/>
        <v>2014</v>
      </c>
    </row>
    <row r="582" spans="1:19" ht="12.75" x14ac:dyDescent="0.2">
      <c r="A582" s="2" t="s">
        <v>15</v>
      </c>
      <c r="B582" s="2" t="str">
        <f t="shared" si="72"/>
        <v>Government</v>
      </c>
      <c r="C582" s="2" t="s">
        <v>19</v>
      </c>
      <c r="D582" s="2" t="str">
        <f>PROPER(Table1[[#This Row],[Country]])</f>
        <v>Germany</v>
      </c>
      <c r="E582" s="3" t="s">
        <v>17</v>
      </c>
      <c r="F582" s="3" t="s">
        <v>35</v>
      </c>
      <c r="G582" s="13">
        <v>442</v>
      </c>
      <c r="H582" s="4">
        <v>3</v>
      </c>
      <c r="I582" s="4">
        <v>20</v>
      </c>
      <c r="J582" s="4">
        <f t="shared" si="73"/>
        <v>8840</v>
      </c>
      <c r="K582" s="4">
        <v>1149.2</v>
      </c>
      <c r="L582" s="4">
        <f t="shared" si="74"/>
        <v>7690.8</v>
      </c>
      <c r="M582" s="4">
        <v>4420</v>
      </c>
      <c r="N582" s="4">
        <f t="shared" si="75"/>
        <v>3270.8</v>
      </c>
      <c r="O582" s="16">
        <f t="shared" si="76"/>
        <v>0.42528735632183912</v>
      </c>
      <c r="P582" s="19">
        <v>41518</v>
      </c>
      <c r="Q582" s="5">
        <f t="shared" si="77"/>
        <v>9</v>
      </c>
      <c r="R582" s="3" t="str">
        <f t="shared" si="78"/>
        <v>September</v>
      </c>
      <c r="S582" s="6">
        <f t="shared" si="79"/>
        <v>2013</v>
      </c>
    </row>
    <row r="583" spans="1:19" ht="12.75" x14ac:dyDescent="0.2">
      <c r="A583" s="2" t="s">
        <v>15</v>
      </c>
      <c r="B583" s="2" t="str">
        <f t="shared" si="72"/>
        <v>Government</v>
      </c>
      <c r="C583" s="2" t="s">
        <v>71</v>
      </c>
      <c r="D583" s="2" t="str">
        <f>PROPER(Table1[[#This Row],[Country]])</f>
        <v>Usa</v>
      </c>
      <c r="E583" s="3" t="s">
        <v>23</v>
      </c>
      <c r="F583" s="3" t="s">
        <v>35</v>
      </c>
      <c r="G583" s="13">
        <v>982.5</v>
      </c>
      <c r="H583" s="4">
        <v>5</v>
      </c>
      <c r="I583" s="4">
        <v>350</v>
      </c>
      <c r="J583" s="4">
        <f t="shared" si="73"/>
        <v>343875</v>
      </c>
      <c r="K583" s="4">
        <v>44703.75</v>
      </c>
      <c r="L583" s="4">
        <f t="shared" si="74"/>
        <v>299171.25</v>
      </c>
      <c r="M583" s="4">
        <v>255450</v>
      </c>
      <c r="N583" s="4">
        <f t="shared" si="75"/>
        <v>43721.25</v>
      </c>
      <c r="O583" s="16">
        <f t="shared" si="76"/>
        <v>0.14614121510673234</v>
      </c>
      <c r="P583" s="19">
        <v>41640</v>
      </c>
      <c r="Q583" s="5">
        <f t="shared" si="77"/>
        <v>1</v>
      </c>
      <c r="R583" s="3" t="str">
        <f t="shared" si="78"/>
        <v>January</v>
      </c>
      <c r="S583" s="6">
        <f t="shared" si="79"/>
        <v>2014</v>
      </c>
    </row>
    <row r="584" spans="1:19" ht="12.75" x14ac:dyDescent="0.2">
      <c r="A584" s="2" t="s">
        <v>15</v>
      </c>
      <c r="B584" s="2" t="str">
        <f t="shared" si="72"/>
        <v>Government</v>
      </c>
      <c r="C584" s="2" t="s">
        <v>71</v>
      </c>
      <c r="D584" s="2" t="str">
        <f>PROPER(Table1[[#This Row],[Country]])</f>
        <v>Usa</v>
      </c>
      <c r="E584" s="3" t="s">
        <v>23</v>
      </c>
      <c r="F584" s="3" t="s">
        <v>35</v>
      </c>
      <c r="G584" s="13">
        <v>1298</v>
      </c>
      <c r="H584" s="4">
        <v>5</v>
      </c>
      <c r="I584" s="4">
        <v>7</v>
      </c>
      <c r="J584" s="4">
        <f t="shared" si="73"/>
        <v>9086</v>
      </c>
      <c r="K584" s="4">
        <v>1181.18</v>
      </c>
      <c r="L584" s="4">
        <f t="shared" si="74"/>
        <v>7904.82</v>
      </c>
      <c r="M584" s="4">
        <v>6490</v>
      </c>
      <c r="N584" s="4">
        <f t="shared" si="75"/>
        <v>1414.8199999999997</v>
      </c>
      <c r="O584" s="16">
        <f t="shared" si="76"/>
        <v>0.17898193760262723</v>
      </c>
      <c r="P584" s="19">
        <v>41671</v>
      </c>
      <c r="Q584" s="5">
        <f t="shared" si="77"/>
        <v>2</v>
      </c>
      <c r="R584" s="3" t="str">
        <f t="shared" si="78"/>
        <v>February</v>
      </c>
      <c r="S584" s="6">
        <f t="shared" si="79"/>
        <v>2014</v>
      </c>
    </row>
    <row r="585" spans="1:19" ht="12.75" x14ac:dyDescent="0.2">
      <c r="A585" s="2" t="s">
        <v>24</v>
      </c>
      <c r="B585" s="2" t="str">
        <f t="shared" si="72"/>
        <v>Channel Partners</v>
      </c>
      <c r="C585" s="2" t="s">
        <v>22</v>
      </c>
      <c r="D585" s="2" t="str">
        <f>PROPER(Table1[[#This Row],[Country]])</f>
        <v>Mexico</v>
      </c>
      <c r="E585" s="3" t="s">
        <v>23</v>
      </c>
      <c r="F585" s="3" t="s">
        <v>35</v>
      </c>
      <c r="G585" s="13">
        <v>604</v>
      </c>
      <c r="H585" s="4">
        <v>5</v>
      </c>
      <c r="I585" s="4">
        <v>12</v>
      </c>
      <c r="J585" s="4">
        <f t="shared" si="73"/>
        <v>7248</v>
      </c>
      <c r="K585" s="4">
        <v>942.24</v>
      </c>
      <c r="L585" s="4">
        <f t="shared" si="74"/>
        <v>6305.76</v>
      </c>
      <c r="M585" s="4">
        <v>1812</v>
      </c>
      <c r="N585" s="4">
        <f t="shared" si="75"/>
        <v>4493.76</v>
      </c>
      <c r="O585" s="16">
        <f t="shared" si="76"/>
        <v>0.71264367816091956</v>
      </c>
      <c r="P585" s="19">
        <v>41791</v>
      </c>
      <c r="Q585" s="5">
        <f t="shared" si="77"/>
        <v>6</v>
      </c>
      <c r="R585" s="3" t="str">
        <f t="shared" si="78"/>
        <v>June</v>
      </c>
      <c r="S585" s="6">
        <f t="shared" si="79"/>
        <v>2014</v>
      </c>
    </row>
    <row r="586" spans="1:19" ht="12.75" x14ac:dyDescent="0.2">
      <c r="A586" s="2" t="s">
        <v>15</v>
      </c>
      <c r="B586" s="2" t="str">
        <f t="shared" si="72"/>
        <v>Government</v>
      </c>
      <c r="C586" s="2" t="s">
        <v>22</v>
      </c>
      <c r="D586" s="2" t="str">
        <f>PROPER(Table1[[#This Row],[Country]])</f>
        <v>Mexico</v>
      </c>
      <c r="E586" s="3" t="s">
        <v>23</v>
      </c>
      <c r="F586" s="3" t="s">
        <v>35</v>
      </c>
      <c r="G586" s="13">
        <v>2255</v>
      </c>
      <c r="H586" s="4">
        <v>5</v>
      </c>
      <c r="I586" s="4">
        <v>20</v>
      </c>
      <c r="J586" s="4">
        <f t="shared" si="73"/>
        <v>45100</v>
      </c>
      <c r="K586" s="4">
        <v>5863</v>
      </c>
      <c r="L586" s="4">
        <f t="shared" si="74"/>
        <v>39237</v>
      </c>
      <c r="M586" s="4">
        <v>22550</v>
      </c>
      <c r="N586" s="4">
        <f t="shared" si="75"/>
        <v>16687</v>
      </c>
      <c r="O586" s="16">
        <f t="shared" si="76"/>
        <v>0.42528735632183906</v>
      </c>
      <c r="P586" s="19">
        <v>41821</v>
      </c>
      <c r="Q586" s="5">
        <f t="shared" si="77"/>
        <v>7</v>
      </c>
      <c r="R586" s="3" t="str">
        <f t="shared" si="78"/>
        <v>July</v>
      </c>
      <c r="S586" s="6">
        <f t="shared" si="79"/>
        <v>2014</v>
      </c>
    </row>
    <row r="587" spans="1:19" ht="12.75" x14ac:dyDescent="0.2">
      <c r="A587" s="2" t="s">
        <v>15</v>
      </c>
      <c r="B587" s="2" t="str">
        <f t="shared" si="72"/>
        <v>Government</v>
      </c>
      <c r="C587" s="2" t="s">
        <v>16</v>
      </c>
      <c r="D587" s="2" t="str">
        <f>PROPER(Table1[[#This Row],[Country]])</f>
        <v>Canada</v>
      </c>
      <c r="E587" s="3" t="s">
        <v>23</v>
      </c>
      <c r="F587" s="3" t="s">
        <v>35</v>
      </c>
      <c r="G587" s="13">
        <v>1249</v>
      </c>
      <c r="H587" s="4">
        <v>5</v>
      </c>
      <c r="I587" s="4">
        <v>20</v>
      </c>
      <c r="J587" s="4">
        <f t="shared" si="73"/>
        <v>24980</v>
      </c>
      <c r="K587" s="4">
        <v>3247.4</v>
      </c>
      <c r="L587" s="4">
        <f t="shared" si="74"/>
        <v>21732.6</v>
      </c>
      <c r="M587" s="4">
        <v>12490</v>
      </c>
      <c r="N587" s="4">
        <f t="shared" si="75"/>
        <v>9242.5999999999985</v>
      </c>
      <c r="O587" s="16">
        <f t="shared" si="76"/>
        <v>0.42528735632183906</v>
      </c>
      <c r="P587" s="19">
        <v>41913</v>
      </c>
      <c r="Q587" s="5">
        <f t="shared" si="77"/>
        <v>10</v>
      </c>
      <c r="R587" s="3" t="str">
        <f t="shared" si="78"/>
        <v>October</v>
      </c>
      <c r="S587" s="6">
        <f t="shared" si="79"/>
        <v>2014</v>
      </c>
    </row>
    <row r="588" spans="1:19" ht="12.75" x14ac:dyDescent="0.2">
      <c r="A588" s="2" t="s">
        <v>15</v>
      </c>
      <c r="B588" s="2" t="str">
        <f t="shared" si="72"/>
        <v>Government</v>
      </c>
      <c r="C588" s="2" t="s">
        <v>71</v>
      </c>
      <c r="D588" s="2" t="str">
        <f>PROPER(Table1[[#This Row],[Country]])</f>
        <v>Usa</v>
      </c>
      <c r="E588" s="3" t="s">
        <v>28</v>
      </c>
      <c r="F588" s="3" t="s">
        <v>35</v>
      </c>
      <c r="G588" s="13">
        <v>1438.5</v>
      </c>
      <c r="H588" s="4">
        <v>10</v>
      </c>
      <c r="I588" s="4">
        <v>7</v>
      </c>
      <c r="J588" s="4">
        <f t="shared" si="73"/>
        <v>10069.5</v>
      </c>
      <c r="K588" s="4">
        <v>1309.0350000000001</v>
      </c>
      <c r="L588" s="4">
        <f t="shared" si="74"/>
        <v>8760.4650000000001</v>
      </c>
      <c r="M588" s="4">
        <v>7192.5</v>
      </c>
      <c r="N588" s="4">
        <f t="shared" si="75"/>
        <v>1567.9650000000001</v>
      </c>
      <c r="O588" s="16">
        <f t="shared" si="76"/>
        <v>0.17898193760262726</v>
      </c>
      <c r="P588" s="19">
        <v>41640</v>
      </c>
      <c r="Q588" s="5">
        <f t="shared" si="77"/>
        <v>1</v>
      </c>
      <c r="R588" s="3" t="str">
        <f t="shared" si="78"/>
        <v>January</v>
      </c>
      <c r="S588" s="6">
        <f t="shared" si="79"/>
        <v>2014</v>
      </c>
    </row>
    <row r="589" spans="1:19" ht="12.75" x14ac:dyDescent="0.2">
      <c r="A589" s="2" t="s">
        <v>29</v>
      </c>
      <c r="B589" s="2" t="str">
        <f t="shared" si="72"/>
        <v>Small Business</v>
      </c>
      <c r="C589" s="2" t="s">
        <v>19</v>
      </c>
      <c r="D589" s="2" t="str">
        <f>PROPER(Table1[[#This Row],[Country]])</f>
        <v>Germany</v>
      </c>
      <c r="E589" s="3" t="s">
        <v>28</v>
      </c>
      <c r="F589" s="3" t="s">
        <v>35</v>
      </c>
      <c r="G589" s="13">
        <v>807</v>
      </c>
      <c r="H589" s="4">
        <v>10</v>
      </c>
      <c r="I589" s="4">
        <v>300</v>
      </c>
      <c r="J589" s="4">
        <f t="shared" si="73"/>
        <v>242100</v>
      </c>
      <c r="K589" s="4">
        <v>31473</v>
      </c>
      <c r="L589" s="4">
        <f t="shared" si="74"/>
        <v>210627</v>
      </c>
      <c r="M589" s="4">
        <v>201750</v>
      </c>
      <c r="N589" s="4">
        <f t="shared" si="75"/>
        <v>8877</v>
      </c>
      <c r="O589" s="16">
        <f t="shared" si="76"/>
        <v>4.2145593869731802E-2</v>
      </c>
      <c r="P589" s="19">
        <v>41640</v>
      </c>
      <c r="Q589" s="5">
        <f t="shared" si="77"/>
        <v>1</v>
      </c>
      <c r="R589" s="3" t="str">
        <f t="shared" si="78"/>
        <v>January</v>
      </c>
      <c r="S589" s="6">
        <f t="shared" si="79"/>
        <v>2014</v>
      </c>
    </row>
    <row r="590" spans="1:19" ht="12.75" x14ac:dyDescent="0.2">
      <c r="A590" s="2" t="s">
        <v>15</v>
      </c>
      <c r="B590" s="2" t="str">
        <f t="shared" si="72"/>
        <v>Government</v>
      </c>
      <c r="C590" s="2" t="s">
        <v>71</v>
      </c>
      <c r="D590" s="2" t="str">
        <f>PROPER(Table1[[#This Row],[Country]])</f>
        <v>Usa</v>
      </c>
      <c r="E590" s="3" t="s">
        <v>28</v>
      </c>
      <c r="F590" s="3" t="s">
        <v>35</v>
      </c>
      <c r="G590" s="13">
        <v>2641</v>
      </c>
      <c r="H590" s="4">
        <v>10</v>
      </c>
      <c r="I590" s="4">
        <v>20</v>
      </c>
      <c r="J590" s="4">
        <f t="shared" si="73"/>
        <v>52820</v>
      </c>
      <c r="K590" s="4">
        <v>6866.6</v>
      </c>
      <c r="L590" s="4">
        <f t="shared" si="74"/>
        <v>45953.4</v>
      </c>
      <c r="M590" s="4">
        <v>26410</v>
      </c>
      <c r="N590" s="4">
        <f t="shared" si="75"/>
        <v>19543.400000000001</v>
      </c>
      <c r="O590" s="16">
        <f t="shared" si="76"/>
        <v>0.42528735632183912</v>
      </c>
      <c r="P590" s="19">
        <v>41671</v>
      </c>
      <c r="Q590" s="5">
        <f t="shared" si="77"/>
        <v>2</v>
      </c>
      <c r="R590" s="3" t="str">
        <f t="shared" si="78"/>
        <v>February</v>
      </c>
      <c r="S590" s="6">
        <f t="shared" si="79"/>
        <v>2014</v>
      </c>
    </row>
    <row r="591" spans="1:19" ht="12.75" x14ac:dyDescent="0.2">
      <c r="A591" s="2" t="s">
        <v>15</v>
      </c>
      <c r="B591" s="2" t="str">
        <f t="shared" si="72"/>
        <v>Government</v>
      </c>
      <c r="C591" s="2" t="s">
        <v>19</v>
      </c>
      <c r="D591" s="2" t="str">
        <f>PROPER(Table1[[#This Row],[Country]])</f>
        <v>Germany</v>
      </c>
      <c r="E591" s="3" t="s">
        <v>28</v>
      </c>
      <c r="F591" s="3" t="s">
        <v>35</v>
      </c>
      <c r="G591" s="13">
        <v>2708</v>
      </c>
      <c r="H591" s="4">
        <v>10</v>
      </c>
      <c r="I591" s="4">
        <v>20</v>
      </c>
      <c r="J591" s="4">
        <f t="shared" si="73"/>
        <v>54160</v>
      </c>
      <c r="K591" s="4">
        <v>7040.8</v>
      </c>
      <c r="L591" s="4">
        <f t="shared" si="74"/>
        <v>47119.199999999997</v>
      </c>
      <c r="M591" s="4">
        <v>27080</v>
      </c>
      <c r="N591" s="4">
        <f t="shared" si="75"/>
        <v>20039.199999999997</v>
      </c>
      <c r="O591" s="16">
        <f t="shared" si="76"/>
        <v>0.42528735632183906</v>
      </c>
      <c r="P591" s="19">
        <v>41671</v>
      </c>
      <c r="Q591" s="5">
        <f t="shared" si="77"/>
        <v>2</v>
      </c>
      <c r="R591" s="3" t="str">
        <f t="shared" si="78"/>
        <v>February</v>
      </c>
      <c r="S591" s="6">
        <f t="shared" si="79"/>
        <v>2014</v>
      </c>
    </row>
    <row r="592" spans="1:19" ht="12.75" x14ac:dyDescent="0.2">
      <c r="A592" s="2" t="s">
        <v>15</v>
      </c>
      <c r="B592" s="2" t="str">
        <f t="shared" si="72"/>
        <v>Government</v>
      </c>
      <c r="C592" s="2" t="s">
        <v>16</v>
      </c>
      <c r="D592" s="2" t="str">
        <f>PROPER(Table1[[#This Row],[Country]])</f>
        <v>Canada</v>
      </c>
      <c r="E592" s="3" t="s">
        <v>28</v>
      </c>
      <c r="F592" s="3" t="s">
        <v>35</v>
      </c>
      <c r="G592" s="13">
        <v>2632</v>
      </c>
      <c r="H592" s="4">
        <v>10</v>
      </c>
      <c r="I592" s="4">
        <v>350</v>
      </c>
      <c r="J592" s="4">
        <f t="shared" si="73"/>
        <v>921200</v>
      </c>
      <c r="K592" s="4">
        <v>119756</v>
      </c>
      <c r="L592" s="4">
        <f t="shared" si="74"/>
        <v>801444</v>
      </c>
      <c r="M592" s="4">
        <v>684320</v>
      </c>
      <c r="N592" s="4">
        <f t="shared" si="75"/>
        <v>117124</v>
      </c>
      <c r="O592" s="16">
        <f t="shared" si="76"/>
        <v>0.14614121510673234</v>
      </c>
      <c r="P592" s="19">
        <v>41791</v>
      </c>
      <c r="Q592" s="5">
        <f t="shared" si="77"/>
        <v>6</v>
      </c>
      <c r="R592" s="3" t="str">
        <f t="shared" si="78"/>
        <v>June</v>
      </c>
      <c r="S592" s="6">
        <f t="shared" si="79"/>
        <v>2014</v>
      </c>
    </row>
    <row r="593" spans="1:19" ht="12.75" x14ac:dyDescent="0.2">
      <c r="A593" s="2" t="s">
        <v>25</v>
      </c>
      <c r="B593" s="2" t="str">
        <f t="shared" si="72"/>
        <v>Enterprise</v>
      </c>
      <c r="C593" s="2" t="s">
        <v>16</v>
      </c>
      <c r="D593" s="2" t="str">
        <f>PROPER(Table1[[#This Row],[Country]])</f>
        <v>Canada</v>
      </c>
      <c r="E593" s="3" t="s">
        <v>28</v>
      </c>
      <c r="F593" s="3" t="s">
        <v>35</v>
      </c>
      <c r="G593" s="13">
        <v>1583</v>
      </c>
      <c r="H593" s="4">
        <v>10</v>
      </c>
      <c r="I593" s="4">
        <v>125</v>
      </c>
      <c r="J593" s="4">
        <f t="shared" si="73"/>
        <v>197875</v>
      </c>
      <c r="K593" s="4">
        <v>25723.75</v>
      </c>
      <c r="L593" s="4">
        <f t="shared" si="74"/>
        <v>172151.25</v>
      </c>
      <c r="M593" s="4">
        <v>189960</v>
      </c>
      <c r="N593" s="4">
        <f t="shared" si="75"/>
        <v>-17808.75</v>
      </c>
      <c r="O593" s="16">
        <f t="shared" si="76"/>
        <v>-0.10344827586206896</v>
      </c>
      <c r="P593" s="19">
        <v>41791</v>
      </c>
      <c r="Q593" s="5">
        <f t="shared" si="77"/>
        <v>6</v>
      </c>
      <c r="R593" s="3" t="str">
        <f t="shared" si="78"/>
        <v>June</v>
      </c>
      <c r="S593" s="6">
        <f t="shared" si="79"/>
        <v>2014</v>
      </c>
    </row>
    <row r="594" spans="1:19" ht="12.75" x14ac:dyDescent="0.2">
      <c r="A594" s="2" t="s">
        <v>24</v>
      </c>
      <c r="B594" s="2" t="str">
        <f t="shared" si="72"/>
        <v>Channel Partners</v>
      </c>
      <c r="C594" s="2" t="s">
        <v>22</v>
      </c>
      <c r="D594" s="2" t="str">
        <f>PROPER(Table1[[#This Row],[Country]])</f>
        <v>Mexico</v>
      </c>
      <c r="E594" s="3" t="s">
        <v>28</v>
      </c>
      <c r="F594" s="3" t="s">
        <v>35</v>
      </c>
      <c r="G594" s="13">
        <v>571</v>
      </c>
      <c r="H594" s="4">
        <v>10</v>
      </c>
      <c r="I594" s="4">
        <v>12</v>
      </c>
      <c r="J594" s="4">
        <f t="shared" si="73"/>
        <v>6852</v>
      </c>
      <c r="K594" s="4">
        <v>890.76</v>
      </c>
      <c r="L594" s="4">
        <f t="shared" si="74"/>
        <v>5961.24</v>
      </c>
      <c r="M594" s="4">
        <v>1713</v>
      </c>
      <c r="N594" s="4">
        <f t="shared" si="75"/>
        <v>4248.24</v>
      </c>
      <c r="O594" s="16">
        <f t="shared" si="76"/>
        <v>0.71264367816091956</v>
      </c>
      <c r="P594" s="19">
        <v>41821</v>
      </c>
      <c r="Q594" s="5">
        <f t="shared" si="77"/>
        <v>7</v>
      </c>
      <c r="R594" s="3" t="str">
        <f t="shared" si="78"/>
        <v>July</v>
      </c>
      <c r="S594" s="6">
        <f t="shared" si="79"/>
        <v>2014</v>
      </c>
    </row>
    <row r="595" spans="1:19" ht="12.75" x14ac:dyDescent="0.2">
      <c r="A595" s="2" t="s">
        <v>15</v>
      </c>
      <c r="B595" s="2" t="str">
        <f t="shared" si="72"/>
        <v>Government</v>
      </c>
      <c r="C595" s="2" t="s">
        <v>21</v>
      </c>
      <c r="D595" s="2" t="str">
        <f>PROPER(Table1[[#This Row],[Country]])</f>
        <v>France</v>
      </c>
      <c r="E595" s="3" t="s">
        <v>28</v>
      </c>
      <c r="F595" s="3" t="s">
        <v>35</v>
      </c>
      <c r="G595" s="13">
        <v>2696</v>
      </c>
      <c r="H595" s="4">
        <v>10</v>
      </c>
      <c r="I595" s="4">
        <v>7</v>
      </c>
      <c r="J595" s="4">
        <f t="shared" si="73"/>
        <v>18872</v>
      </c>
      <c r="K595" s="4">
        <v>2453.36</v>
      </c>
      <c r="L595" s="4">
        <f t="shared" si="74"/>
        <v>16418.64</v>
      </c>
      <c r="M595" s="4">
        <v>13480</v>
      </c>
      <c r="N595" s="4">
        <f t="shared" si="75"/>
        <v>2938.6399999999994</v>
      </c>
      <c r="O595" s="16">
        <f t="shared" si="76"/>
        <v>0.17898193760262723</v>
      </c>
      <c r="P595" s="19">
        <v>41852</v>
      </c>
      <c r="Q595" s="5">
        <f t="shared" si="77"/>
        <v>8</v>
      </c>
      <c r="R595" s="3" t="str">
        <f t="shared" si="78"/>
        <v>August</v>
      </c>
      <c r="S595" s="6">
        <f t="shared" si="79"/>
        <v>2014</v>
      </c>
    </row>
    <row r="596" spans="1:19" ht="12.75" x14ac:dyDescent="0.2">
      <c r="A596" s="2" t="s">
        <v>20</v>
      </c>
      <c r="B596" s="2" t="str">
        <f t="shared" si="72"/>
        <v>Midmarket</v>
      </c>
      <c r="C596" s="2" t="s">
        <v>16</v>
      </c>
      <c r="D596" s="2" t="str">
        <f>PROPER(Table1[[#This Row],[Country]])</f>
        <v>Canada</v>
      </c>
      <c r="E596" s="3" t="s">
        <v>28</v>
      </c>
      <c r="F596" s="3" t="s">
        <v>35</v>
      </c>
      <c r="G596" s="13">
        <v>1565</v>
      </c>
      <c r="H596" s="4">
        <v>10</v>
      </c>
      <c r="I596" s="4">
        <v>15</v>
      </c>
      <c r="J596" s="4">
        <f t="shared" si="73"/>
        <v>23475</v>
      </c>
      <c r="K596" s="4">
        <v>3051.75</v>
      </c>
      <c r="L596" s="4">
        <f t="shared" si="74"/>
        <v>20423.25</v>
      </c>
      <c r="M596" s="4">
        <v>15650</v>
      </c>
      <c r="N596" s="4">
        <f t="shared" si="75"/>
        <v>4773.25</v>
      </c>
      <c r="O596" s="16">
        <f t="shared" si="76"/>
        <v>0.23371647509578544</v>
      </c>
      <c r="P596" s="19">
        <v>41913</v>
      </c>
      <c r="Q596" s="5">
        <f t="shared" si="77"/>
        <v>10</v>
      </c>
      <c r="R596" s="3" t="str">
        <f t="shared" si="78"/>
        <v>October</v>
      </c>
      <c r="S596" s="6">
        <f t="shared" si="79"/>
        <v>2014</v>
      </c>
    </row>
    <row r="597" spans="1:19" ht="12.75" x14ac:dyDescent="0.2">
      <c r="A597" s="2" t="s">
        <v>15</v>
      </c>
      <c r="B597" s="2" t="str">
        <f t="shared" si="72"/>
        <v>Government</v>
      </c>
      <c r="C597" s="2" t="s">
        <v>16</v>
      </c>
      <c r="D597" s="2" t="str">
        <f>PROPER(Table1[[#This Row],[Country]])</f>
        <v>Canada</v>
      </c>
      <c r="E597" s="3" t="s">
        <v>28</v>
      </c>
      <c r="F597" s="3" t="s">
        <v>35</v>
      </c>
      <c r="G597" s="13">
        <v>1249</v>
      </c>
      <c r="H597" s="4">
        <v>10</v>
      </c>
      <c r="I597" s="4">
        <v>20</v>
      </c>
      <c r="J597" s="4">
        <f t="shared" si="73"/>
        <v>24980</v>
      </c>
      <c r="K597" s="4">
        <v>3247.4</v>
      </c>
      <c r="L597" s="4">
        <f t="shared" si="74"/>
        <v>21732.6</v>
      </c>
      <c r="M597" s="4">
        <v>12490</v>
      </c>
      <c r="N597" s="4">
        <f t="shared" si="75"/>
        <v>9242.5999999999985</v>
      </c>
      <c r="O597" s="16">
        <f t="shared" si="76"/>
        <v>0.42528735632183906</v>
      </c>
      <c r="P597" s="19">
        <v>41913</v>
      </c>
      <c r="Q597" s="5">
        <f t="shared" si="77"/>
        <v>10</v>
      </c>
      <c r="R597" s="3" t="str">
        <f t="shared" si="78"/>
        <v>October</v>
      </c>
      <c r="S597" s="6">
        <f t="shared" si="79"/>
        <v>2014</v>
      </c>
    </row>
    <row r="598" spans="1:19" ht="12.75" x14ac:dyDescent="0.2">
      <c r="A598" s="2" t="s">
        <v>15</v>
      </c>
      <c r="B598" s="2" t="str">
        <f t="shared" si="72"/>
        <v>Government</v>
      </c>
      <c r="C598" s="2" t="s">
        <v>19</v>
      </c>
      <c r="D598" s="2" t="str">
        <f>PROPER(Table1[[#This Row],[Country]])</f>
        <v>Germany</v>
      </c>
      <c r="E598" s="3" t="s">
        <v>28</v>
      </c>
      <c r="F598" s="3" t="s">
        <v>35</v>
      </c>
      <c r="G598" s="13">
        <v>357</v>
      </c>
      <c r="H598" s="4">
        <v>10</v>
      </c>
      <c r="I598" s="4">
        <v>350</v>
      </c>
      <c r="J598" s="4">
        <f t="shared" si="73"/>
        <v>124950</v>
      </c>
      <c r="K598" s="4">
        <v>16243.5</v>
      </c>
      <c r="L598" s="4">
        <f t="shared" si="74"/>
        <v>108706.5</v>
      </c>
      <c r="M598" s="4">
        <v>92820</v>
      </c>
      <c r="N598" s="4">
        <f t="shared" si="75"/>
        <v>15886.5</v>
      </c>
      <c r="O598" s="16">
        <f t="shared" si="76"/>
        <v>0.14614121510673234</v>
      </c>
      <c r="P598" s="19">
        <v>41944</v>
      </c>
      <c r="Q598" s="5">
        <f t="shared" si="77"/>
        <v>11</v>
      </c>
      <c r="R598" s="3" t="str">
        <f t="shared" si="78"/>
        <v>November</v>
      </c>
      <c r="S598" s="6">
        <f t="shared" si="79"/>
        <v>2014</v>
      </c>
    </row>
    <row r="599" spans="1:19" ht="12.75" x14ac:dyDescent="0.2">
      <c r="A599" s="2" t="s">
        <v>24</v>
      </c>
      <c r="B599" s="2" t="str">
        <f t="shared" si="72"/>
        <v>Channel Partners</v>
      </c>
      <c r="C599" s="2" t="s">
        <v>19</v>
      </c>
      <c r="D599" s="2" t="str">
        <f>PROPER(Table1[[#This Row],[Country]])</f>
        <v>Germany</v>
      </c>
      <c r="E599" s="3" t="s">
        <v>28</v>
      </c>
      <c r="F599" s="3" t="s">
        <v>35</v>
      </c>
      <c r="G599" s="13">
        <v>1013</v>
      </c>
      <c r="H599" s="4">
        <v>10</v>
      </c>
      <c r="I599" s="4">
        <v>12</v>
      </c>
      <c r="J599" s="4">
        <f t="shared" si="73"/>
        <v>12156</v>
      </c>
      <c r="K599" s="4">
        <v>1580.28</v>
      </c>
      <c r="L599" s="4">
        <f t="shared" si="74"/>
        <v>10575.72</v>
      </c>
      <c r="M599" s="4">
        <v>3039</v>
      </c>
      <c r="N599" s="4">
        <f t="shared" si="75"/>
        <v>7536.7199999999993</v>
      </c>
      <c r="O599" s="16">
        <f t="shared" si="76"/>
        <v>0.71264367816091956</v>
      </c>
      <c r="P599" s="19">
        <v>41974</v>
      </c>
      <c r="Q599" s="5">
        <f t="shared" si="77"/>
        <v>12</v>
      </c>
      <c r="R599" s="3" t="str">
        <f t="shared" si="78"/>
        <v>December</v>
      </c>
      <c r="S599" s="6">
        <f t="shared" si="79"/>
        <v>2014</v>
      </c>
    </row>
    <row r="600" spans="1:19" ht="12.75" x14ac:dyDescent="0.2">
      <c r="A600" s="2" t="s">
        <v>20</v>
      </c>
      <c r="B600" s="2" t="str">
        <f t="shared" si="72"/>
        <v>Midmarket</v>
      </c>
      <c r="C600" s="2" t="s">
        <v>21</v>
      </c>
      <c r="D600" s="2" t="str">
        <f>PROPER(Table1[[#This Row],[Country]])</f>
        <v>France</v>
      </c>
      <c r="E600" s="3" t="s">
        <v>30</v>
      </c>
      <c r="F600" s="3" t="s">
        <v>35</v>
      </c>
      <c r="G600" s="13">
        <v>3997.5</v>
      </c>
      <c r="H600" s="4">
        <v>120</v>
      </c>
      <c r="I600" s="4">
        <v>15</v>
      </c>
      <c r="J600" s="4">
        <f t="shared" si="73"/>
        <v>59962.5</v>
      </c>
      <c r="K600" s="4">
        <v>7795.125</v>
      </c>
      <c r="L600" s="4">
        <f t="shared" si="74"/>
        <v>52167.375</v>
      </c>
      <c r="M600" s="4">
        <v>39975</v>
      </c>
      <c r="N600" s="4">
        <f t="shared" si="75"/>
        <v>12192.375</v>
      </c>
      <c r="O600" s="16">
        <f t="shared" si="76"/>
        <v>0.23371647509578544</v>
      </c>
      <c r="P600" s="19">
        <v>41640</v>
      </c>
      <c r="Q600" s="5">
        <f t="shared" si="77"/>
        <v>1</v>
      </c>
      <c r="R600" s="3" t="str">
        <f t="shared" si="78"/>
        <v>January</v>
      </c>
      <c r="S600" s="6">
        <f t="shared" si="79"/>
        <v>2014</v>
      </c>
    </row>
    <row r="601" spans="1:19" ht="12.75" x14ac:dyDescent="0.2">
      <c r="A601" s="2" t="s">
        <v>15</v>
      </c>
      <c r="B601" s="2" t="str">
        <f t="shared" si="72"/>
        <v>Government</v>
      </c>
      <c r="C601" s="2" t="s">
        <v>16</v>
      </c>
      <c r="D601" s="2" t="str">
        <f>PROPER(Table1[[#This Row],[Country]])</f>
        <v>Canada</v>
      </c>
      <c r="E601" s="3" t="s">
        <v>30</v>
      </c>
      <c r="F601" s="3" t="s">
        <v>35</v>
      </c>
      <c r="G601" s="13">
        <v>2632</v>
      </c>
      <c r="H601" s="4">
        <v>120</v>
      </c>
      <c r="I601" s="4">
        <v>350</v>
      </c>
      <c r="J601" s="4">
        <f t="shared" si="73"/>
        <v>921200</v>
      </c>
      <c r="K601" s="4">
        <v>119756</v>
      </c>
      <c r="L601" s="4">
        <f t="shared" si="74"/>
        <v>801444</v>
      </c>
      <c r="M601" s="4">
        <v>684320</v>
      </c>
      <c r="N601" s="4">
        <f t="shared" si="75"/>
        <v>117124</v>
      </c>
      <c r="O601" s="16">
        <f t="shared" si="76"/>
        <v>0.14614121510673234</v>
      </c>
      <c r="P601" s="19">
        <v>41791</v>
      </c>
      <c r="Q601" s="5">
        <f t="shared" si="77"/>
        <v>6</v>
      </c>
      <c r="R601" s="3" t="str">
        <f t="shared" si="78"/>
        <v>June</v>
      </c>
      <c r="S601" s="6">
        <f t="shared" si="79"/>
        <v>2014</v>
      </c>
    </row>
    <row r="602" spans="1:19" ht="12.75" x14ac:dyDescent="0.2">
      <c r="A602" s="2" t="s">
        <v>15</v>
      </c>
      <c r="B602" s="2" t="str">
        <f t="shared" si="72"/>
        <v>Government</v>
      </c>
      <c r="C602" s="2" t="s">
        <v>21</v>
      </c>
      <c r="D602" s="2" t="str">
        <f>PROPER(Table1[[#This Row],[Country]])</f>
        <v>France</v>
      </c>
      <c r="E602" s="3" t="s">
        <v>30</v>
      </c>
      <c r="F602" s="3" t="s">
        <v>35</v>
      </c>
      <c r="G602" s="13">
        <v>1190</v>
      </c>
      <c r="H602" s="4">
        <v>120</v>
      </c>
      <c r="I602" s="4">
        <v>7</v>
      </c>
      <c r="J602" s="4">
        <f t="shared" si="73"/>
        <v>8330</v>
      </c>
      <c r="K602" s="4">
        <v>1082.9000000000001</v>
      </c>
      <c r="L602" s="4">
        <f t="shared" si="74"/>
        <v>7247.1</v>
      </c>
      <c r="M602" s="4">
        <v>5950</v>
      </c>
      <c r="N602" s="4">
        <f t="shared" si="75"/>
        <v>1297.1000000000004</v>
      </c>
      <c r="O602" s="16">
        <f t="shared" si="76"/>
        <v>0.17898193760262729</v>
      </c>
      <c r="P602" s="19">
        <v>41791</v>
      </c>
      <c r="Q602" s="5">
        <f t="shared" si="77"/>
        <v>6</v>
      </c>
      <c r="R602" s="3" t="str">
        <f t="shared" si="78"/>
        <v>June</v>
      </c>
      <c r="S602" s="6">
        <f t="shared" si="79"/>
        <v>2014</v>
      </c>
    </row>
    <row r="603" spans="1:19" ht="12.75" x14ac:dyDescent="0.2">
      <c r="A603" s="2" t="s">
        <v>24</v>
      </c>
      <c r="B603" s="2" t="str">
        <f t="shared" si="72"/>
        <v>Channel Partners</v>
      </c>
      <c r="C603" s="2" t="s">
        <v>22</v>
      </c>
      <c r="D603" s="2" t="str">
        <f>PROPER(Table1[[#This Row],[Country]])</f>
        <v>Mexico</v>
      </c>
      <c r="E603" s="3" t="s">
        <v>30</v>
      </c>
      <c r="F603" s="3" t="s">
        <v>35</v>
      </c>
      <c r="G603" s="13">
        <v>604</v>
      </c>
      <c r="H603" s="4">
        <v>120</v>
      </c>
      <c r="I603" s="4">
        <v>12</v>
      </c>
      <c r="J603" s="4">
        <f t="shared" si="73"/>
        <v>7248</v>
      </c>
      <c r="K603" s="4">
        <v>942.24</v>
      </c>
      <c r="L603" s="4">
        <f t="shared" si="74"/>
        <v>6305.76</v>
      </c>
      <c r="M603" s="4">
        <v>1812</v>
      </c>
      <c r="N603" s="4">
        <f t="shared" si="75"/>
        <v>4493.76</v>
      </c>
      <c r="O603" s="16">
        <f t="shared" si="76"/>
        <v>0.71264367816091956</v>
      </c>
      <c r="P603" s="19">
        <v>41791</v>
      </c>
      <c r="Q603" s="5">
        <f t="shared" si="77"/>
        <v>6</v>
      </c>
      <c r="R603" s="3" t="str">
        <f t="shared" si="78"/>
        <v>June</v>
      </c>
      <c r="S603" s="6">
        <f t="shared" si="79"/>
        <v>2014</v>
      </c>
    </row>
    <row r="604" spans="1:19" ht="12.75" x14ac:dyDescent="0.2">
      <c r="A604" s="2" t="s">
        <v>20</v>
      </c>
      <c r="B604" s="2" t="str">
        <f t="shared" si="72"/>
        <v>Midmarket</v>
      </c>
      <c r="C604" s="2" t="s">
        <v>19</v>
      </c>
      <c r="D604" s="2" t="str">
        <f>PROPER(Table1[[#This Row],[Country]])</f>
        <v>Germany</v>
      </c>
      <c r="E604" s="3" t="s">
        <v>30</v>
      </c>
      <c r="F604" s="3" t="s">
        <v>35</v>
      </c>
      <c r="G604" s="13">
        <v>660</v>
      </c>
      <c r="H604" s="4">
        <v>120</v>
      </c>
      <c r="I604" s="4">
        <v>15</v>
      </c>
      <c r="J604" s="4">
        <f t="shared" si="73"/>
        <v>9900</v>
      </c>
      <c r="K604" s="4">
        <v>1287</v>
      </c>
      <c r="L604" s="4">
        <f t="shared" si="74"/>
        <v>8613</v>
      </c>
      <c r="M604" s="4">
        <v>6600</v>
      </c>
      <c r="N604" s="4">
        <f t="shared" si="75"/>
        <v>2013</v>
      </c>
      <c r="O604" s="16">
        <f t="shared" si="76"/>
        <v>0.23371647509578544</v>
      </c>
      <c r="P604" s="19">
        <v>41518</v>
      </c>
      <c r="Q604" s="5">
        <f t="shared" si="77"/>
        <v>9</v>
      </c>
      <c r="R604" s="3" t="str">
        <f t="shared" si="78"/>
        <v>September</v>
      </c>
      <c r="S604" s="6">
        <f t="shared" si="79"/>
        <v>2013</v>
      </c>
    </row>
    <row r="605" spans="1:19" ht="12.75" x14ac:dyDescent="0.2">
      <c r="A605" s="2" t="s">
        <v>24</v>
      </c>
      <c r="B605" s="2" t="str">
        <f t="shared" si="72"/>
        <v>Channel Partners</v>
      </c>
      <c r="C605" s="2" t="s">
        <v>22</v>
      </c>
      <c r="D605" s="2" t="str">
        <f>PROPER(Table1[[#This Row],[Country]])</f>
        <v>Mexico</v>
      </c>
      <c r="E605" s="3" t="s">
        <v>30</v>
      </c>
      <c r="F605" s="3" t="s">
        <v>35</v>
      </c>
      <c r="G605" s="13">
        <v>410</v>
      </c>
      <c r="H605" s="4">
        <v>120</v>
      </c>
      <c r="I605" s="4">
        <v>12</v>
      </c>
      <c r="J605" s="4">
        <f t="shared" si="73"/>
        <v>4920</v>
      </c>
      <c r="K605" s="4">
        <v>639.6</v>
      </c>
      <c r="L605" s="4">
        <f t="shared" si="74"/>
        <v>4280.3999999999996</v>
      </c>
      <c r="M605" s="4">
        <v>1230</v>
      </c>
      <c r="N605" s="4">
        <f t="shared" si="75"/>
        <v>3050.3999999999996</v>
      </c>
      <c r="O605" s="16">
        <f t="shared" si="76"/>
        <v>0.71264367816091956</v>
      </c>
      <c r="P605" s="19">
        <v>41913</v>
      </c>
      <c r="Q605" s="5">
        <f t="shared" si="77"/>
        <v>10</v>
      </c>
      <c r="R605" s="3" t="str">
        <f t="shared" si="78"/>
        <v>October</v>
      </c>
      <c r="S605" s="6">
        <f t="shared" si="79"/>
        <v>2014</v>
      </c>
    </row>
    <row r="606" spans="1:19" ht="12.75" x14ac:dyDescent="0.2">
      <c r="A606" s="2" t="s">
        <v>29</v>
      </c>
      <c r="B606" s="2" t="str">
        <f t="shared" si="72"/>
        <v>Small Business</v>
      </c>
      <c r="C606" s="2" t="s">
        <v>22</v>
      </c>
      <c r="D606" s="2" t="str">
        <f>PROPER(Table1[[#This Row],[Country]])</f>
        <v>Mexico</v>
      </c>
      <c r="E606" s="3" t="s">
        <v>30</v>
      </c>
      <c r="F606" s="3" t="s">
        <v>35</v>
      </c>
      <c r="G606" s="13">
        <v>2605</v>
      </c>
      <c r="H606" s="4">
        <v>120</v>
      </c>
      <c r="I606" s="4">
        <v>300</v>
      </c>
      <c r="J606" s="4">
        <f t="shared" si="73"/>
        <v>781500</v>
      </c>
      <c r="K606" s="4">
        <v>101595</v>
      </c>
      <c r="L606" s="4">
        <f t="shared" si="74"/>
        <v>679905</v>
      </c>
      <c r="M606" s="4">
        <v>651250</v>
      </c>
      <c r="N606" s="4">
        <f t="shared" si="75"/>
        <v>28655</v>
      </c>
      <c r="O606" s="16">
        <f t="shared" si="76"/>
        <v>4.2145593869731802E-2</v>
      </c>
      <c r="P606" s="19">
        <v>41579</v>
      </c>
      <c r="Q606" s="5">
        <f t="shared" si="77"/>
        <v>11</v>
      </c>
      <c r="R606" s="3" t="str">
        <f t="shared" si="78"/>
        <v>November</v>
      </c>
      <c r="S606" s="6">
        <f t="shared" si="79"/>
        <v>2013</v>
      </c>
    </row>
    <row r="607" spans="1:19" ht="12.75" x14ac:dyDescent="0.2">
      <c r="A607" s="2" t="s">
        <v>24</v>
      </c>
      <c r="B607" s="2" t="str">
        <f t="shared" si="72"/>
        <v>Channel Partners</v>
      </c>
      <c r="C607" s="2" t="s">
        <v>19</v>
      </c>
      <c r="D607" s="2" t="str">
        <f>PROPER(Table1[[#This Row],[Country]])</f>
        <v>Germany</v>
      </c>
      <c r="E607" s="3" t="s">
        <v>30</v>
      </c>
      <c r="F607" s="3" t="s">
        <v>35</v>
      </c>
      <c r="G607" s="13">
        <v>1013</v>
      </c>
      <c r="H607" s="4">
        <v>120</v>
      </c>
      <c r="I607" s="4">
        <v>12</v>
      </c>
      <c r="J607" s="4">
        <f t="shared" si="73"/>
        <v>12156</v>
      </c>
      <c r="K607" s="4">
        <v>1580.28</v>
      </c>
      <c r="L607" s="4">
        <f t="shared" si="74"/>
        <v>10575.72</v>
      </c>
      <c r="M607" s="4">
        <v>3039</v>
      </c>
      <c r="N607" s="4">
        <f t="shared" si="75"/>
        <v>7536.7199999999993</v>
      </c>
      <c r="O607" s="16">
        <f t="shared" si="76"/>
        <v>0.71264367816091956</v>
      </c>
      <c r="P607" s="19">
        <v>41974</v>
      </c>
      <c r="Q607" s="5">
        <f t="shared" si="77"/>
        <v>12</v>
      </c>
      <c r="R607" s="3" t="str">
        <f t="shared" si="78"/>
        <v>December</v>
      </c>
      <c r="S607" s="6">
        <f t="shared" si="79"/>
        <v>2014</v>
      </c>
    </row>
    <row r="608" spans="1:19" ht="12.75" x14ac:dyDescent="0.2">
      <c r="A608" s="2" t="s">
        <v>25</v>
      </c>
      <c r="B608" s="2" t="str">
        <f t="shared" si="72"/>
        <v>Enterprise</v>
      </c>
      <c r="C608" s="2" t="s">
        <v>16</v>
      </c>
      <c r="D608" s="2" t="str">
        <f>PROPER(Table1[[#This Row],[Country]])</f>
        <v>Canada</v>
      </c>
      <c r="E608" s="3" t="s">
        <v>31</v>
      </c>
      <c r="F608" s="3" t="s">
        <v>35</v>
      </c>
      <c r="G608" s="13">
        <v>1583</v>
      </c>
      <c r="H608" s="4">
        <v>250</v>
      </c>
      <c r="I608" s="4">
        <v>125</v>
      </c>
      <c r="J608" s="4">
        <f t="shared" si="73"/>
        <v>197875</v>
      </c>
      <c r="K608" s="4">
        <v>25723.75</v>
      </c>
      <c r="L608" s="4">
        <f t="shared" si="74"/>
        <v>172151.25</v>
      </c>
      <c r="M608" s="4">
        <v>189960</v>
      </c>
      <c r="N608" s="4">
        <f t="shared" si="75"/>
        <v>-17808.75</v>
      </c>
      <c r="O608" s="16">
        <f t="shared" si="76"/>
        <v>-0.10344827586206896</v>
      </c>
      <c r="P608" s="19">
        <v>41791</v>
      </c>
      <c r="Q608" s="5">
        <f t="shared" si="77"/>
        <v>6</v>
      </c>
      <c r="R608" s="3" t="str">
        <f t="shared" si="78"/>
        <v>June</v>
      </c>
      <c r="S608" s="6">
        <f t="shared" si="79"/>
        <v>2014</v>
      </c>
    </row>
    <row r="609" spans="1:19" ht="12.75" x14ac:dyDescent="0.2">
      <c r="A609" s="2" t="s">
        <v>20</v>
      </c>
      <c r="B609" s="2" t="str">
        <f t="shared" si="72"/>
        <v>Midmarket</v>
      </c>
      <c r="C609" s="2" t="s">
        <v>16</v>
      </c>
      <c r="D609" s="2" t="str">
        <f>PROPER(Table1[[#This Row],[Country]])</f>
        <v>Canada</v>
      </c>
      <c r="E609" s="3" t="s">
        <v>31</v>
      </c>
      <c r="F609" s="3" t="s">
        <v>35</v>
      </c>
      <c r="G609" s="13">
        <v>1565</v>
      </c>
      <c r="H609" s="4">
        <v>250</v>
      </c>
      <c r="I609" s="4">
        <v>15</v>
      </c>
      <c r="J609" s="4">
        <f t="shared" si="73"/>
        <v>23475</v>
      </c>
      <c r="K609" s="4">
        <v>3051.75</v>
      </c>
      <c r="L609" s="4">
        <f t="shared" si="74"/>
        <v>20423.25</v>
      </c>
      <c r="M609" s="4">
        <v>15650</v>
      </c>
      <c r="N609" s="4">
        <f t="shared" si="75"/>
        <v>4773.25</v>
      </c>
      <c r="O609" s="16">
        <f t="shared" si="76"/>
        <v>0.23371647509578544</v>
      </c>
      <c r="P609" s="19">
        <v>41913</v>
      </c>
      <c r="Q609" s="5">
        <f t="shared" si="77"/>
        <v>10</v>
      </c>
      <c r="R609" s="3" t="str">
        <f t="shared" si="78"/>
        <v>October</v>
      </c>
      <c r="S609" s="6">
        <f t="shared" si="79"/>
        <v>2014</v>
      </c>
    </row>
    <row r="610" spans="1:19" ht="12.75" x14ac:dyDescent="0.2">
      <c r="A610" s="2" t="s">
        <v>25</v>
      </c>
      <c r="B610" s="2" t="str">
        <f t="shared" si="72"/>
        <v>Enterprise</v>
      </c>
      <c r="C610" s="2" t="s">
        <v>16</v>
      </c>
      <c r="D610" s="2" t="str">
        <f>PROPER(Table1[[#This Row],[Country]])</f>
        <v>Canada</v>
      </c>
      <c r="E610" s="3" t="s">
        <v>32</v>
      </c>
      <c r="F610" s="3" t="s">
        <v>35</v>
      </c>
      <c r="G610" s="13">
        <v>1659</v>
      </c>
      <c r="H610" s="4">
        <v>260</v>
      </c>
      <c r="I610" s="4">
        <v>125</v>
      </c>
      <c r="J610" s="4">
        <f t="shared" si="73"/>
        <v>207375</v>
      </c>
      <c r="K610" s="4">
        <v>26958.75</v>
      </c>
      <c r="L610" s="4">
        <f t="shared" si="74"/>
        <v>180416.25</v>
      </c>
      <c r="M610" s="4">
        <v>199080</v>
      </c>
      <c r="N610" s="4">
        <f t="shared" si="75"/>
        <v>-18663.75</v>
      </c>
      <c r="O610" s="16">
        <f t="shared" si="76"/>
        <v>-0.10344827586206896</v>
      </c>
      <c r="P610" s="19">
        <v>41640</v>
      </c>
      <c r="Q610" s="5">
        <f t="shared" si="77"/>
        <v>1</v>
      </c>
      <c r="R610" s="3" t="str">
        <f t="shared" si="78"/>
        <v>January</v>
      </c>
      <c r="S610" s="6">
        <f t="shared" si="79"/>
        <v>2014</v>
      </c>
    </row>
    <row r="611" spans="1:19" ht="12.75" x14ac:dyDescent="0.2">
      <c r="A611" s="2" t="s">
        <v>15</v>
      </c>
      <c r="B611" s="2" t="str">
        <f t="shared" si="72"/>
        <v>Government</v>
      </c>
      <c r="C611" s="2" t="s">
        <v>21</v>
      </c>
      <c r="D611" s="2" t="str">
        <f>PROPER(Table1[[#This Row],[Country]])</f>
        <v>France</v>
      </c>
      <c r="E611" s="3" t="s">
        <v>32</v>
      </c>
      <c r="F611" s="3" t="s">
        <v>35</v>
      </c>
      <c r="G611" s="13">
        <v>1190</v>
      </c>
      <c r="H611" s="4">
        <v>260</v>
      </c>
      <c r="I611" s="4">
        <v>7</v>
      </c>
      <c r="J611" s="4">
        <f t="shared" si="73"/>
        <v>8330</v>
      </c>
      <c r="K611" s="4">
        <v>1082.9000000000001</v>
      </c>
      <c r="L611" s="4">
        <f t="shared" si="74"/>
        <v>7247.1</v>
      </c>
      <c r="M611" s="4">
        <v>5950</v>
      </c>
      <c r="N611" s="4">
        <f t="shared" si="75"/>
        <v>1297.1000000000004</v>
      </c>
      <c r="O611" s="16">
        <f t="shared" si="76"/>
        <v>0.17898193760262729</v>
      </c>
      <c r="P611" s="19">
        <v>41791</v>
      </c>
      <c r="Q611" s="5">
        <f t="shared" si="77"/>
        <v>6</v>
      </c>
      <c r="R611" s="3" t="str">
        <f t="shared" si="78"/>
        <v>June</v>
      </c>
      <c r="S611" s="6">
        <f t="shared" si="79"/>
        <v>2014</v>
      </c>
    </row>
    <row r="612" spans="1:19" ht="12.75" x14ac:dyDescent="0.2">
      <c r="A612" s="2" t="s">
        <v>24</v>
      </c>
      <c r="B612" s="2" t="str">
        <f t="shared" si="72"/>
        <v>Channel Partners</v>
      </c>
      <c r="C612" s="2" t="s">
        <v>22</v>
      </c>
      <c r="D612" s="2" t="str">
        <f>PROPER(Table1[[#This Row],[Country]])</f>
        <v>Mexico</v>
      </c>
      <c r="E612" s="3" t="s">
        <v>32</v>
      </c>
      <c r="F612" s="3" t="s">
        <v>35</v>
      </c>
      <c r="G612" s="13">
        <v>410</v>
      </c>
      <c r="H612" s="4">
        <v>260</v>
      </c>
      <c r="I612" s="4">
        <v>12</v>
      </c>
      <c r="J612" s="4">
        <f t="shared" si="73"/>
        <v>4920</v>
      </c>
      <c r="K612" s="4">
        <v>639.6</v>
      </c>
      <c r="L612" s="4">
        <f t="shared" si="74"/>
        <v>4280.3999999999996</v>
      </c>
      <c r="M612" s="4">
        <v>1230</v>
      </c>
      <c r="N612" s="4">
        <f t="shared" si="75"/>
        <v>3050.3999999999996</v>
      </c>
      <c r="O612" s="16">
        <f t="shared" si="76"/>
        <v>0.71264367816091956</v>
      </c>
      <c r="P612" s="19">
        <v>41913</v>
      </c>
      <c r="Q612" s="5">
        <f t="shared" si="77"/>
        <v>10</v>
      </c>
      <c r="R612" s="3" t="str">
        <f t="shared" si="78"/>
        <v>October</v>
      </c>
      <c r="S612" s="6">
        <f t="shared" si="79"/>
        <v>2014</v>
      </c>
    </row>
    <row r="613" spans="1:19" ht="12.75" x14ac:dyDescent="0.2">
      <c r="A613" s="2" t="s">
        <v>24</v>
      </c>
      <c r="B613" s="2" t="str">
        <f t="shared" si="72"/>
        <v>Channel Partners</v>
      </c>
      <c r="C613" s="2" t="s">
        <v>19</v>
      </c>
      <c r="D613" s="2" t="str">
        <f>PROPER(Table1[[#This Row],[Country]])</f>
        <v>Germany</v>
      </c>
      <c r="E613" s="3" t="s">
        <v>32</v>
      </c>
      <c r="F613" s="3" t="s">
        <v>35</v>
      </c>
      <c r="G613" s="13">
        <v>1770</v>
      </c>
      <c r="H613" s="4">
        <v>260</v>
      </c>
      <c r="I613" s="4">
        <v>12</v>
      </c>
      <c r="J613" s="4">
        <f t="shared" si="73"/>
        <v>21240</v>
      </c>
      <c r="K613" s="4">
        <v>2761.2</v>
      </c>
      <c r="L613" s="4">
        <f t="shared" si="74"/>
        <v>18478.8</v>
      </c>
      <c r="M613" s="4">
        <v>5310</v>
      </c>
      <c r="N613" s="4">
        <f t="shared" si="75"/>
        <v>13168.8</v>
      </c>
      <c r="O613" s="16">
        <f t="shared" si="76"/>
        <v>0.71264367816091956</v>
      </c>
      <c r="P613" s="19">
        <v>41609</v>
      </c>
      <c r="Q613" s="5">
        <f t="shared" si="77"/>
        <v>12</v>
      </c>
      <c r="R613" s="3" t="str">
        <f t="shared" si="78"/>
        <v>December</v>
      </c>
      <c r="S613" s="6">
        <f t="shared" si="79"/>
        <v>2013</v>
      </c>
    </row>
    <row r="614" spans="1:19" ht="12.75" x14ac:dyDescent="0.2">
      <c r="A614" s="2" t="s">
        <v>15</v>
      </c>
      <c r="B614" s="2" t="str">
        <f t="shared" si="72"/>
        <v>Government</v>
      </c>
      <c r="C614" s="2" t="s">
        <v>22</v>
      </c>
      <c r="D614" s="2" t="str">
        <f>PROPER(Table1[[#This Row],[Country]])</f>
        <v>Mexico</v>
      </c>
      <c r="E614" s="3" t="s">
        <v>17</v>
      </c>
      <c r="F614" s="3" t="s">
        <v>35</v>
      </c>
      <c r="G614" s="13">
        <v>2579</v>
      </c>
      <c r="H614" s="4">
        <v>3</v>
      </c>
      <c r="I614" s="4">
        <v>20</v>
      </c>
      <c r="J614" s="4">
        <f t="shared" si="73"/>
        <v>51580</v>
      </c>
      <c r="K614" s="4">
        <v>7221.2</v>
      </c>
      <c r="L614" s="4">
        <f t="shared" si="74"/>
        <v>44358.8</v>
      </c>
      <c r="M614" s="4">
        <v>25790</v>
      </c>
      <c r="N614" s="4">
        <f t="shared" si="75"/>
        <v>18568.800000000003</v>
      </c>
      <c r="O614" s="16">
        <f t="shared" si="76"/>
        <v>0.41860465116279072</v>
      </c>
      <c r="P614" s="19">
        <v>41730</v>
      </c>
      <c r="Q614" s="5">
        <f t="shared" si="77"/>
        <v>4</v>
      </c>
      <c r="R614" s="3" t="str">
        <f t="shared" si="78"/>
        <v>April</v>
      </c>
      <c r="S614" s="6">
        <f t="shared" si="79"/>
        <v>2014</v>
      </c>
    </row>
    <row r="615" spans="1:19" ht="12.75" x14ac:dyDescent="0.2">
      <c r="A615" s="2" t="s">
        <v>15</v>
      </c>
      <c r="B615" s="2" t="str">
        <f t="shared" si="72"/>
        <v>Government</v>
      </c>
      <c r="C615" s="2" t="s">
        <v>71</v>
      </c>
      <c r="D615" s="2" t="str">
        <f>PROPER(Table1[[#This Row],[Country]])</f>
        <v>Usa</v>
      </c>
      <c r="E615" s="3" t="s">
        <v>17</v>
      </c>
      <c r="F615" s="3" t="s">
        <v>35</v>
      </c>
      <c r="G615" s="13">
        <v>1743</v>
      </c>
      <c r="H615" s="4">
        <v>3</v>
      </c>
      <c r="I615" s="4">
        <v>20</v>
      </c>
      <c r="J615" s="4">
        <f t="shared" si="73"/>
        <v>34860</v>
      </c>
      <c r="K615" s="4">
        <v>4880.3999999999996</v>
      </c>
      <c r="L615" s="4">
        <f t="shared" si="74"/>
        <v>29979.599999999999</v>
      </c>
      <c r="M615" s="4">
        <v>17430</v>
      </c>
      <c r="N615" s="4">
        <f t="shared" si="75"/>
        <v>12549.599999999999</v>
      </c>
      <c r="O615" s="16">
        <f t="shared" si="76"/>
        <v>0.41860465116279066</v>
      </c>
      <c r="P615" s="19">
        <v>41760</v>
      </c>
      <c r="Q615" s="5">
        <f t="shared" si="77"/>
        <v>5</v>
      </c>
      <c r="R615" s="3" t="str">
        <f t="shared" si="78"/>
        <v>May</v>
      </c>
      <c r="S615" s="6">
        <f t="shared" si="79"/>
        <v>2014</v>
      </c>
    </row>
    <row r="616" spans="1:19" ht="12.75" x14ac:dyDescent="0.2">
      <c r="A616" s="2" t="s">
        <v>15</v>
      </c>
      <c r="B616" s="2" t="str">
        <f t="shared" si="72"/>
        <v>Government</v>
      </c>
      <c r="C616" s="2" t="s">
        <v>71</v>
      </c>
      <c r="D616" s="2" t="str">
        <f>PROPER(Table1[[#This Row],[Country]])</f>
        <v>Usa</v>
      </c>
      <c r="E616" s="3" t="s">
        <v>17</v>
      </c>
      <c r="F616" s="3" t="s">
        <v>35</v>
      </c>
      <c r="G616" s="13">
        <v>2996</v>
      </c>
      <c r="H616" s="4">
        <v>3</v>
      </c>
      <c r="I616" s="4">
        <v>7</v>
      </c>
      <c r="J616" s="4">
        <f t="shared" si="73"/>
        <v>20972</v>
      </c>
      <c r="K616" s="4">
        <v>2936.08</v>
      </c>
      <c r="L616" s="4">
        <f t="shared" si="74"/>
        <v>18035.919999999998</v>
      </c>
      <c r="M616" s="4">
        <v>14980</v>
      </c>
      <c r="N616" s="4">
        <f t="shared" si="75"/>
        <v>3055.9199999999983</v>
      </c>
      <c r="O616" s="16">
        <f t="shared" si="76"/>
        <v>0.16943521594684377</v>
      </c>
      <c r="P616" s="19">
        <v>41548</v>
      </c>
      <c r="Q616" s="5">
        <f t="shared" si="77"/>
        <v>10</v>
      </c>
      <c r="R616" s="3" t="str">
        <f t="shared" si="78"/>
        <v>October</v>
      </c>
      <c r="S616" s="6">
        <f t="shared" si="79"/>
        <v>2013</v>
      </c>
    </row>
    <row r="617" spans="1:19" ht="12.75" x14ac:dyDescent="0.2">
      <c r="A617" s="2" t="s">
        <v>15</v>
      </c>
      <c r="B617" s="2" t="str">
        <f t="shared" si="72"/>
        <v>Government</v>
      </c>
      <c r="C617" s="2" t="s">
        <v>19</v>
      </c>
      <c r="D617" s="2" t="str">
        <f>PROPER(Table1[[#This Row],[Country]])</f>
        <v>Germany</v>
      </c>
      <c r="E617" s="3" t="s">
        <v>17</v>
      </c>
      <c r="F617" s="3" t="s">
        <v>35</v>
      </c>
      <c r="G617" s="13">
        <v>280</v>
      </c>
      <c r="H617" s="4">
        <v>3</v>
      </c>
      <c r="I617" s="4">
        <v>7</v>
      </c>
      <c r="J617" s="4">
        <f t="shared" si="73"/>
        <v>1960</v>
      </c>
      <c r="K617" s="4">
        <v>274.39999999999998</v>
      </c>
      <c r="L617" s="4">
        <f t="shared" si="74"/>
        <v>1685.6</v>
      </c>
      <c r="M617" s="4">
        <v>1400</v>
      </c>
      <c r="N617" s="4">
        <f t="shared" si="75"/>
        <v>285.59999999999991</v>
      </c>
      <c r="O617" s="16">
        <f t="shared" si="76"/>
        <v>0.1694352159468438</v>
      </c>
      <c r="P617" s="19">
        <v>41974</v>
      </c>
      <c r="Q617" s="5">
        <f t="shared" si="77"/>
        <v>12</v>
      </c>
      <c r="R617" s="3" t="str">
        <f t="shared" si="78"/>
        <v>December</v>
      </c>
      <c r="S617" s="6">
        <f t="shared" si="79"/>
        <v>2014</v>
      </c>
    </row>
    <row r="618" spans="1:19" ht="12.75" x14ac:dyDescent="0.2">
      <c r="A618" s="2" t="s">
        <v>15</v>
      </c>
      <c r="B618" s="2" t="str">
        <f t="shared" si="72"/>
        <v>Government</v>
      </c>
      <c r="C618" s="2" t="s">
        <v>21</v>
      </c>
      <c r="D618" s="2" t="str">
        <f>PROPER(Table1[[#This Row],[Country]])</f>
        <v>France</v>
      </c>
      <c r="E618" s="3" t="s">
        <v>23</v>
      </c>
      <c r="F618" s="3" t="s">
        <v>35</v>
      </c>
      <c r="G618" s="13">
        <v>293</v>
      </c>
      <c r="H618" s="4">
        <v>5</v>
      </c>
      <c r="I618" s="4">
        <v>7</v>
      </c>
      <c r="J618" s="4">
        <f t="shared" si="73"/>
        <v>2051</v>
      </c>
      <c r="K618" s="4">
        <v>287.14</v>
      </c>
      <c r="L618" s="4">
        <f t="shared" si="74"/>
        <v>1763.8600000000001</v>
      </c>
      <c r="M618" s="4">
        <v>1465</v>
      </c>
      <c r="N618" s="4">
        <f t="shared" si="75"/>
        <v>298.86000000000013</v>
      </c>
      <c r="O618" s="16">
        <f t="shared" si="76"/>
        <v>0.16943521594684391</v>
      </c>
      <c r="P618" s="19">
        <v>41671</v>
      </c>
      <c r="Q618" s="5">
        <f t="shared" si="77"/>
        <v>2</v>
      </c>
      <c r="R618" s="3" t="str">
        <f t="shared" si="78"/>
        <v>February</v>
      </c>
      <c r="S618" s="6">
        <f t="shared" si="79"/>
        <v>2014</v>
      </c>
    </row>
    <row r="619" spans="1:19" ht="12.75" x14ac:dyDescent="0.2">
      <c r="A619" s="2" t="s">
        <v>15</v>
      </c>
      <c r="B619" s="2" t="str">
        <f t="shared" si="72"/>
        <v>Government</v>
      </c>
      <c r="C619" s="2" t="s">
        <v>71</v>
      </c>
      <c r="D619" s="2" t="str">
        <f>PROPER(Table1[[#This Row],[Country]])</f>
        <v>Usa</v>
      </c>
      <c r="E619" s="3" t="s">
        <v>23</v>
      </c>
      <c r="F619" s="3" t="s">
        <v>35</v>
      </c>
      <c r="G619" s="13">
        <v>2996</v>
      </c>
      <c r="H619" s="4">
        <v>5</v>
      </c>
      <c r="I619" s="4">
        <v>7</v>
      </c>
      <c r="J619" s="4">
        <f t="shared" si="73"/>
        <v>20972</v>
      </c>
      <c r="K619" s="4">
        <v>2936.08</v>
      </c>
      <c r="L619" s="4">
        <f t="shared" si="74"/>
        <v>18035.919999999998</v>
      </c>
      <c r="M619" s="4">
        <v>14980</v>
      </c>
      <c r="N619" s="4">
        <f t="shared" si="75"/>
        <v>3055.9199999999983</v>
      </c>
      <c r="O619" s="16">
        <f t="shared" si="76"/>
        <v>0.16943521594684377</v>
      </c>
      <c r="P619" s="19">
        <v>41548</v>
      </c>
      <c r="Q619" s="5">
        <f t="shared" si="77"/>
        <v>10</v>
      </c>
      <c r="R619" s="3" t="str">
        <f t="shared" si="78"/>
        <v>October</v>
      </c>
      <c r="S619" s="6">
        <f t="shared" si="79"/>
        <v>2013</v>
      </c>
    </row>
    <row r="620" spans="1:19" ht="12.75" x14ac:dyDescent="0.2">
      <c r="A620" s="2" t="s">
        <v>20</v>
      </c>
      <c r="B620" s="2" t="str">
        <f t="shared" si="72"/>
        <v>Midmarket</v>
      </c>
      <c r="C620" s="2" t="s">
        <v>19</v>
      </c>
      <c r="D620" s="2" t="str">
        <f>PROPER(Table1[[#This Row],[Country]])</f>
        <v>Germany</v>
      </c>
      <c r="E620" s="3" t="s">
        <v>28</v>
      </c>
      <c r="F620" s="3" t="s">
        <v>35</v>
      </c>
      <c r="G620" s="13">
        <v>278</v>
      </c>
      <c r="H620" s="4">
        <v>10</v>
      </c>
      <c r="I620" s="4">
        <v>15</v>
      </c>
      <c r="J620" s="4">
        <f t="shared" si="73"/>
        <v>4170</v>
      </c>
      <c r="K620" s="4">
        <v>583.79999999999995</v>
      </c>
      <c r="L620" s="4">
        <f t="shared" si="74"/>
        <v>3586.2</v>
      </c>
      <c r="M620" s="4">
        <v>2780</v>
      </c>
      <c r="N620" s="4">
        <f t="shared" si="75"/>
        <v>806.19999999999982</v>
      </c>
      <c r="O620" s="16">
        <f t="shared" si="76"/>
        <v>0.22480620155038755</v>
      </c>
      <c r="P620" s="19">
        <v>41671</v>
      </c>
      <c r="Q620" s="5">
        <f t="shared" si="77"/>
        <v>2</v>
      </c>
      <c r="R620" s="3" t="str">
        <f t="shared" si="78"/>
        <v>February</v>
      </c>
      <c r="S620" s="6">
        <f t="shared" si="79"/>
        <v>2014</v>
      </c>
    </row>
    <row r="621" spans="1:19" ht="12.75" x14ac:dyDescent="0.2">
      <c r="A621" s="2" t="s">
        <v>15</v>
      </c>
      <c r="B621" s="2" t="str">
        <f t="shared" si="72"/>
        <v>Government</v>
      </c>
      <c r="C621" s="2" t="s">
        <v>16</v>
      </c>
      <c r="D621" s="2" t="str">
        <f>PROPER(Table1[[#This Row],[Country]])</f>
        <v>Canada</v>
      </c>
      <c r="E621" s="3" t="s">
        <v>28</v>
      </c>
      <c r="F621" s="3" t="s">
        <v>35</v>
      </c>
      <c r="G621" s="13">
        <v>2428</v>
      </c>
      <c r="H621" s="4">
        <v>10</v>
      </c>
      <c r="I621" s="4">
        <v>20</v>
      </c>
      <c r="J621" s="4">
        <f t="shared" si="73"/>
        <v>48560</v>
      </c>
      <c r="K621" s="4">
        <v>6798.4</v>
      </c>
      <c r="L621" s="4">
        <f t="shared" si="74"/>
        <v>41761.599999999999</v>
      </c>
      <c r="M621" s="4">
        <v>24280</v>
      </c>
      <c r="N621" s="4">
        <f t="shared" si="75"/>
        <v>17481.599999999999</v>
      </c>
      <c r="O621" s="16">
        <f t="shared" si="76"/>
        <v>0.41860465116279066</v>
      </c>
      <c r="P621" s="19">
        <v>41699</v>
      </c>
      <c r="Q621" s="5">
        <f t="shared" si="77"/>
        <v>3</v>
      </c>
      <c r="R621" s="3" t="str">
        <f t="shared" si="78"/>
        <v>March</v>
      </c>
      <c r="S621" s="6">
        <f t="shared" si="79"/>
        <v>2014</v>
      </c>
    </row>
    <row r="622" spans="1:19" ht="12.75" x14ac:dyDescent="0.2">
      <c r="A622" s="2" t="s">
        <v>20</v>
      </c>
      <c r="B622" s="2" t="str">
        <f t="shared" si="72"/>
        <v>Midmarket</v>
      </c>
      <c r="C622" s="2" t="s">
        <v>71</v>
      </c>
      <c r="D622" s="2" t="str">
        <f>PROPER(Table1[[#This Row],[Country]])</f>
        <v>Usa</v>
      </c>
      <c r="E622" s="3" t="s">
        <v>28</v>
      </c>
      <c r="F622" s="3" t="s">
        <v>35</v>
      </c>
      <c r="G622" s="13">
        <v>1767</v>
      </c>
      <c r="H622" s="4">
        <v>10</v>
      </c>
      <c r="I622" s="4">
        <v>15</v>
      </c>
      <c r="J622" s="4">
        <f t="shared" si="73"/>
        <v>26505</v>
      </c>
      <c r="K622" s="4">
        <v>3710.7</v>
      </c>
      <c r="L622" s="4">
        <f t="shared" si="74"/>
        <v>22794.3</v>
      </c>
      <c r="M622" s="4">
        <v>17670</v>
      </c>
      <c r="N622" s="4">
        <f t="shared" si="75"/>
        <v>5124.2999999999993</v>
      </c>
      <c r="O622" s="16">
        <f t="shared" si="76"/>
        <v>0.22480620155038758</v>
      </c>
      <c r="P622" s="19">
        <v>41883</v>
      </c>
      <c r="Q622" s="5">
        <f t="shared" si="77"/>
        <v>9</v>
      </c>
      <c r="R622" s="3" t="str">
        <f t="shared" si="78"/>
        <v>September</v>
      </c>
      <c r="S622" s="6">
        <f t="shared" si="79"/>
        <v>2014</v>
      </c>
    </row>
    <row r="623" spans="1:19" ht="12.75" x14ac:dyDescent="0.2">
      <c r="A623" s="2" t="s">
        <v>24</v>
      </c>
      <c r="B623" s="2" t="str">
        <f t="shared" si="72"/>
        <v>Channel Partners</v>
      </c>
      <c r="C623" s="2" t="s">
        <v>21</v>
      </c>
      <c r="D623" s="2" t="str">
        <f>PROPER(Table1[[#This Row],[Country]])</f>
        <v>France</v>
      </c>
      <c r="E623" s="3" t="s">
        <v>28</v>
      </c>
      <c r="F623" s="3" t="s">
        <v>35</v>
      </c>
      <c r="G623" s="13">
        <v>1393</v>
      </c>
      <c r="H623" s="4">
        <v>10</v>
      </c>
      <c r="I623" s="4">
        <v>12</v>
      </c>
      <c r="J623" s="4">
        <f t="shared" si="73"/>
        <v>16716</v>
      </c>
      <c r="K623" s="4">
        <v>2340.2399999999998</v>
      </c>
      <c r="L623" s="4">
        <f t="shared" si="74"/>
        <v>14375.76</v>
      </c>
      <c r="M623" s="4">
        <v>4179</v>
      </c>
      <c r="N623" s="4">
        <f t="shared" si="75"/>
        <v>10196.76</v>
      </c>
      <c r="O623" s="16">
        <f t="shared" si="76"/>
        <v>0.70930232558139539</v>
      </c>
      <c r="P623" s="19">
        <v>41913</v>
      </c>
      <c r="Q623" s="5">
        <f t="shared" si="77"/>
        <v>10</v>
      </c>
      <c r="R623" s="3" t="str">
        <f t="shared" si="78"/>
        <v>October</v>
      </c>
      <c r="S623" s="6">
        <f t="shared" si="79"/>
        <v>2014</v>
      </c>
    </row>
    <row r="624" spans="1:19" ht="12.75" x14ac:dyDescent="0.2">
      <c r="A624" s="2" t="s">
        <v>15</v>
      </c>
      <c r="B624" s="2" t="str">
        <f t="shared" si="72"/>
        <v>Government</v>
      </c>
      <c r="C624" s="2" t="s">
        <v>19</v>
      </c>
      <c r="D624" s="2" t="str">
        <f>PROPER(Table1[[#This Row],[Country]])</f>
        <v>Germany</v>
      </c>
      <c r="E624" s="3" t="s">
        <v>31</v>
      </c>
      <c r="F624" s="3" t="s">
        <v>35</v>
      </c>
      <c r="G624" s="13">
        <v>280</v>
      </c>
      <c r="H624" s="4">
        <v>250</v>
      </c>
      <c r="I624" s="4">
        <v>7</v>
      </c>
      <c r="J624" s="4">
        <f t="shared" si="73"/>
        <v>1960</v>
      </c>
      <c r="K624" s="4">
        <v>274.39999999999998</v>
      </c>
      <c r="L624" s="4">
        <f t="shared" si="74"/>
        <v>1685.6</v>
      </c>
      <c r="M624" s="4">
        <v>1400</v>
      </c>
      <c r="N624" s="4">
        <f t="shared" si="75"/>
        <v>285.59999999999991</v>
      </c>
      <c r="O624" s="16">
        <f t="shared" si="76"/>
        <v>0.1694352159468438</v>
      </c>
      <c r="P624" s="19">
        <v>41974</v>
      </c>
      <c r="Q624" s="5">
        <f t="shared" si="77"/>
        <v>12</v>
      </c>
      <c r="R624" s="3" t="str">
        <f t="shared" si="78"/>
        <v>December</v>
      </c>
      <c r="S624" s="6">
        <f t="shared" si="79"/>
        <v>2014</v>
      </c>
    </row>
    <row r="625" spans="1:19" ht="12.75" x14ac:dyDescent="0.2">
      <c r="A625" s="2" t="s">
        <v>24</v>
      </c>
      <c r="B625" s="2" t="str">
        <f t="shared" si="72"/>
        <v>Channel Partners</v>
      </c>
      <c r="C625" s="2" t="s">
        <v>21</v>
      </c>
      <c r="D625" s="2" t="str">
        <f>PROPER(Table1[[#This Row],[Country]])</f>
        <v>France</v>
      </c>
      <c r="E625" s="3" t="s">
        <v>32</v>
      </c>
      <c r="F625" s="3" t="s">
        <v>35</v>
      </c>
      <c r="G625" s="13">
        <v>1393</v>
      </c>
      <c r="H625" s="4">
        <v>260</v>
      </c>
      <c r="I625" s="4">
        <v>12</v>
      </c>
      <c r="J625" s="4">
        <f t="shared" si="73"/>
        <v>16716</v>
      </c>
      <c r="K625" s="4">
        <v>2340.2399999999998</v>
      </c>
      <c r="L625" s="4">
        <f t="shared" si="74"/>
        <v>14375.76</v>
      </c>
      <c r="M625" s="4">
        <v>4179</v>
      </c>
      <c r="N625" s="4">
        <f t="shared" si="75"/>
        <v>10196.76</v>
      </c>
      <c r="O625" s="16">
        <f t="shared" si="76"/>
        <v>0.70930232558139539</v>
      </c>
      <c r="P625" s="19">
        <v>41913</v>
      </c>
      <c r="Q625" s="5">
        <f t="shared" si="77"/>
        <v>10</v>
      </c>
      <c r="R625" s="3" t="str">
        <f t="shared" si="78"/>
        <v>October</v>
      </c>
      <c r="S625" s="6">
        <f t="shared" si="79"/>
        <v>2014</v>
      </c>
    </row>
    <row r="626" spans="1:19" ht="12.75" x14ac:dyDescent="0.2">
      <c r="A626" s="2" t="s">
        <v>24</v>
      </c>
      <c r="B626" s="2" t="str">
        <f t="shared" si="72"/>
        <v>Channel Partners</v>
      </c>
      <c r="C626" s="2" t="s">
        <v>71</v>
      </c>
      <c r="D626" s="2" t="str">
        <f>PROPER(Table1[[#This Row],[Country]])</f>
        <v>Usa</v>
      </c>
      <c r="E626" s="3" t="s">
        <v>32</v>
      </c>
      <c r="F626" s="3" t="s">
        <v>35</v>
      </c>
      <c r="G626" s="13">
        <v>2015</v>
      </c>
      <c r="H626" s="4">
        <v>260</v>
      </c>
      <c r="I626" s="4">
        <v>12</v>
      </c>
      <c r="J626" s="4">
        <f t="shared" si="73"/>
        <v>24180</v>
      </c>
      <c r="K626" s="4">
        <v>3385.2</v>
      </c>
      <c r="L626" s="4">
        <f t="shared" si="74"/>
        <v>20794.8</v>
      </c>
      <c r="M626" s="4">
        <v>6045</v>
      </c>
      <c r="N626" s="4">
        <f t="shared" si="75"/>
        <v>14749.8</v>
      </c>
      <c r="O626" s="16">
        <f t="shared" si="76"/>
        <v>0.70930232558139539</v>
      </c>
      <c r="P626" s="19">
        <v>41609</v>
      </c>
      <c r="Q626" s="5">
        <f t="shared" si="77"/>
        <v>12</v>
      </c>
      <c r="R626" s="3" t="str">
        <f t="shared" si="78"/>
        <v>December</v>
      </c>
      <c r="S626" s="6">
        <f t="shared" si="79"/>
        <v>2013</v>
      </c>
    </row>
    <row r="627" spans="1:19" ht="12.75" x14ac:dyDescent="0.2">
      <c r="A627" s="2" t="s">
        <v>29</v>
      </c>
      <c r="B627" s="2" t="str">
        <f t="shared" si="72"/>
        <v>Small Business</v>
      </c>
      <c r="C627" s="2" t="s">
        <v>22</v>
      </c>
      <c r="D627" s="2" t="str">
        <f>PROPER(Table1[[#This Row],[Country]])</f>
        <v>Mexico</v>
      </c>
      <c r="E627" s="3" t="s">
        <v>17</v>
      </c>
      <c r="F627" s="3" t="s">
        <v>35</v>
      </c>
      <c r="G627" s="13">
        <v>801</v>
      </c>
      <c r="H627" s="4">
        <v>3</v>
      </c>
      <c r="I627" s="4">
        <v>300</v>
      </c>
      <c r="J627" s="4">
        <f t="shared" si="73"/>
        <v>240300</v>
      </c>
      <c r="K627" s="4">
        <v>33642</v>
      </c>
      <c r="L627" s="4">
        <f t="shared" si="74"/>
        <v>206658</v>
      </c>
      <c r="M627" s="4">
        <v>200250</v>
      </c>
      <c r="N627" s="4">
        <f t="shared" si="75"/>
        <v>6408</v>
      </c>
      <c r="O627" s="16">
        <f t="shared" si="76"/>
        <v>3.1007751937984496E-2</v>
      </c>
      <c r="P627" s="19">
        <v>41821</v>
      </c>
      <c r="Q627" s="5">
        <f t="shared" si="77"/>
        <v>7</v>
      </c>
      <c r="R627" s="3" t="str">
        <f t="shared" si="78"/>
        <v>July</v>
      </c>
      <c r="S627" s="6">
        <f t="shared" si="79"/>
        <v>2014</v>
      </c>
    </row>
    <row r="628" spans="1:19" ht="12.75" x14ac:dyDescent="0.2">
      <c r="A628" s="2" t="s">
        <v>25</v>
      </c>
      <c r="B628" s="2" t="str">
        <f t="shared" si="72"/>
        <v>Enterprise</v>
      </c>
      <c r="C628" s="2" t="s">
        <v>21</v>
      </c>
      <c r="D628" s="2" t="str">
        <f>PROPER(Table1[[#This Row],[Country]])</f>
        <v>France</v>
      </c>
      <c r="E628" s="3" t="s">
        <v>17</v>
      </c>
      <c r="F628" s="3" t="s">
        <v>35</v>
      </c>
      <c r="G628" s="13">
        <v>1023</v>
      </c>
      <c r="H628" s="4">
        <v>3</v>
      </c>
      <c r="I628" s="4">
        <v>125</v>
      </c>
      <c r="J628" s="4">
        <f t="shared" si="73"/>
        <v>127875</v>
      </c>
      <c r="K628" s="4">
        <v>17902.5</v>
      </c>
      <c r="L628" s="4">
        <f t="shared" si="74"/>
        <v>109972.5</v>
      </c>
      <c r="M628" s="4">
        <v>122760</v>
      </c>
      <c r="N628" s="4">
        <f t="shared" si="75"/>
        <v>-12787.5</v>
      </c>
      <c r="O628" s="16">
        <f t="shared" si="76"/>
        <v>-0.11627906976744186</v>
      </c>
      <c r="P628" s="19">
        <v>41518</v>
      </c>
      <c r="Q628" s="5">
        <f t="shared" si="77"/>
        <v>9</v>
      </c>
      <c r="R628" s="3" t="str">
        <f t="shared" si="78"/>
        <v>September</v>
      </c>
      <c r="S628" s="6">
        <f t="shared" si="79"/>
        <v>2013</v>
      </c>
    </row>
    <row r="629" spans="1:19" ht="12.75" x14ac:dyDescent="0.2">
      <c r="A629" s="2" t="s">
        <v>29</v>
      </c>
      <c r="B629" s="2" t="str">
        <f t="shared" si="72"/>
        <v>Small Business</v>
      </c>
      <c r="C629" s="2" t="s">
        <v>16</v>
      </c>
      <c r="D629" s="2" t="str">
        <f>PROPER(Table1[[#This Row],[Country]])</f>
        <v>Canada</v>
      </c>
      <c r="E629" s="3" t="s">
        <v>17</v>
      </c>
      <c r="F629" s="3" t="s">
        <v>35</v>
      </c>
      <c r="G629" s="13">
        <v>1496</v>
      </c>
      <c r="H629" s="4">
        <v>3</v>
      </c>
      <c r="I629" s="4">
        <v>300</v>
      </c>
      <c r="J629" s="4">
        <f t="shared" si="73"/>
        <v>448800</v>
      </c>
      <c r="K629" s="4">
        <v>62832</v>
      </c>
      <c r="L629" s="4">
        <f t="shared" si="74"/>
        <v>385968</v>
      </c>
      <c r="M629" s="4">
        <v>374000</v>
      </c>
      <c r="N629" s="4">
        <f t="shared" si="75"/>
        <v>11968</v>
      </c>
      <c r="O629" s="16">
        <f t="shared" si="76"/>
        <v>3.1007751937984496E-2</v>
      </c>
      <c r="P629" s="19">
        <v>41913</v>
      </c>
      <c r="Q629" s="5">
        <f t="shared" si="77"/>
        <v>10</v>
      </c>
      <c r="R629" s="3" t="str">
        <f t="shared" si="78"/>
        <v>October</v>
      </c>
      <c r="S629" s="6">
        <f t="shared" si="79"/>
        <v>2014</v>
      </c>
    </row>
    <row r="630" spans="1:19" ht="12.75" x14ac:dyDescent="0.2">
      <c r="A630" s="2" t="s">
        <v>29</v>
      </c>
      <c r="B630" s="2" t="str">
        <f t="shared" si="72"/>
        <v>Small Business</v>
      </c>
      <c r="C630" s="2" t="s">
        <v>71</v>
      </c>
      <c r="D630" s="2" t="str">
        <f>PROPER(Table1[[#This Row],[Country]])</f>
        <v>Usa</v>
      </c>
      <c r="E630" s="3" t="s">
        <v>17</v>
      </c>
      <c r="F630" s="3" t="s">
        <v>35</v>
      </c>
      <c r="G630" s="13">
        <v>1010</v>
      </c>
      <c r="H630" s="4">
        <v>3</v>
      </c>
      <c r="I630" s="4">
        <v>300</v>
      </c>
      <c r="J630" s="4">
        <f t="shared" si="73"/>
        <v>303000</v>
      </c>
      <c r="K630" s="4">
        <v>42420</v>
      </c>
      <c r="L630" s="4">
        <f t="shared" si="74"/>
        <v>260580</v>
      </c>
      <c r="M630" s="4">
        <v>252500</v>
      </c>
      <c r="N630" s="4">
        <f t="shared" si="75"/>
        <v>8080</v>
      </c>
      <c r="O630" s="16">
        <f t="shared" si="76"/>
        <v>3.1007751937984496E-2</v>
      </c>
      <c r="P630" s="19">
        <v>41913</v>
      </c>
      <c r="Q630" s="5">
        <f t="shared" si="77"/>
        <v>10</v>
      </c>
      <c r="R630" s="3" t="str">
        <f t="shared" si="78"/>
        <v>October</v>
      </c>
      <c r="S630" s="6">
        <f t="shared" si="79"/>
        <v>2014</v>
      </c>
    </row>
    <row r="631" spans="1:19" ht="12.75" x14ac:dyDescent="0.2">
      <c r="A631" s="2" t="s">
        <v>20</v>
      </c>
      <c r="B631" s="2" t="str">
        <f t="shared" si="72"/>
        <v>Midmarket</v>
      </c>
      <c r="C631" s="2" t="s">
        <v>19</v>
      </c>
      <c r="D631" s="2" t="str">
        <f>PROPER(Table1[[#This Row],[Country]])</f>
        <v>Germany</v>
      </c>
      <c r="E631" s="3" t="s">
        <v>17</v>
      </c>
      <c r="F631" s="3" t="s">
        <v>35</v>
      </c>
      <c r="G631" s="13">
        <v>1513</v>
      </c>
      <c r="H631" s="4">
        <v>3</v>
      </c>
      <c r="I631" s="4">
        <v>15</v>
      </c>
      <c r="J631" s="4">
        <f t="shared" si="73"/>
        <v>22695</v>
      </c>
      <c r="K631" s="4">
        <v>3177.3</v>
      </c>
      <c r="L631" s="4">
        <f t="shared" si="74"/>
        <v>19517.7</v>
      </c>
      <c r="M631" s="4">
        <v>15130</v>
      </c>
      <c r="N631" s="4">
        <f t="shared" si="75"/>
        <v>4387.7000000000007</v>
      </c>
      <c r="O631" s="16">
        <f t="shared" si="76"/>
        <v>0.22480620155038764</v>
      </c>
      <c r="P631" s="19">
        <v>41944</v>
      </c>
      <c r="Q631" s="5">
        <f t="shared" si="77"/>
        <v>11</v>
      </c>
      <c r="R631" s="3" t="str">
        <f t="shared" si="78"/>
        <v>November</v>
      </c>
      <c r="S631" s="6">
        <f t="shared" si="79"/>
        <v>2014</v>
      </c>
    </row>
    <row r="632" spans="1:19" ht="12.75" x14ac:dyDescent="0.2">
      <c r="A632" s="2" t="s">
        <v>20</v>
      </c>
      <c r="B632" s="2" t="str">
        <f t="shared" si="72"/>
        <v>Midmarket</v>
      </c>
      <c r="C632" s="2" t="s">
        <v>16</v>
      </c>
      <c r="D632" s="2" t="str">
        <f>PROPER(Table1[[#This Row],[Country]])</f>
        <v>Canada</v>
      </c>
      <c r="E632" s="3" t="s">
        <v>17</v>
      </c>
      <c r="F632" s="3" t="s">
        <v>35</v>
      </c>
      <c r="G632" s="13">
        <v>2300</v>
      </c>
      <c r="H632" s="4">
        <v>3</v>
      </c>
      <c r="I632" s="4">
        <v>15</v>
      </c>
      <c r="J632" s="4">
        <f t="shared" si="73"/>
        <v>34500</v>
      </c>
      <c r="K632" s="4">
        <v>4830</v>
      </c>
      <c r="L632" s="4">
        <f t="shared" si="74"/>
        <v>29670</v>
      </c>
      <c r="M632" s="4">
        <v>23000</v>
      </c>
      <c r="N632" s="4">
        <f t="shared" si="75"/>
        <v>6670</v>
      </c>
      <c r="O632" s="16">
        <f t="shared" si="76"/>
        <v>0.22480620155038761</v>
      </c>
      <c r="P632" s="19">
        <v>41974</v>
      </c>
      <c r="Q632" s="5">
        <f t="shared" si="77"/>
        <v>12</v>
      </c>
      <c r="R632" s="3" t="str">
        <f t="shared" si="78"/>
        <v>December</v>
      </c>
      <c r="S632" s="6">
        <f t="shared" si="79"/>
        <v>2014</v>
      </c>
    </row>
    <row r="633" spans="1:19" ht="12.75" x14ac:dyDescent="0.2">
      <c r="A633" s="2" t="s">
        <v>25</v>
      </c>
      <c r="B633" s="2" t="str">
        <f t="shared" si="72"/>
        <v>Enterprise</v>
      </c>
      <c r="C633" s="2" t="s">
        <v>22</v>
      </c>
      <c r="D633" s="2" t="str">
        <f>PROPER(Table1[[#This Row],[Country]])</f>
        <v>Mexico</v>
      </c>
      <c r="E633" s="3" t="s">
        <v>17</v>
      </c>
      <c r="F633" s="3" t="s">
        <v>35</v>
      </c>
      <c r="G633" s="13">
        <v>2821</v>
      </c>
      <c r="H633" s="4">
        <v>3</v>
      </c>
      <c r="I633" s="4">
        <v>125</v>
      </c>
      <c r="J633" s="4">
        <f t="shared" si="73"/>
        <v>352625</v>
      </c>
      <c r="K633" s="4">
        <v>49367.5</v>
      </c>
      <c r="L633" s="4">
        <f t="shared" si="74"/>
        <v>303257.5</v>
      </c>
      <c r="M633" s="4">
        <v>338520</v>
      </c>
      <c r="N633" s="4">
        <f t="shared" si="75"/>
        <v>-35262.5</v>
      </c>
      <c r="O633" s="16">
        <f t="shared" si="76"/>
        <v>-0.11627906976744186</v>
      </c>
      <c r="P633" s="19">
        <v>41609</v>
      </c>
      <c r="Q633" s="5">
        <f t="shared" si="77"/>
        <v>12</v>
      </c>
      <c r="R633" s="3" t="str">
        <f t="shared" si="78"/>
        <v>December</v>
      </c>
      <c r="S633" s="6">
        <f t="shared" si="79"/>
        <v>2013</v>
      </c>
    </row>
    <row r="634" spans="1:19" ht="12.75" x14ac:dyDescent="0.2">
      <c r="A634" s="2" t="s">
        <v>15</v>
      </c>
      <c r="B634" s="2" t="str">
        <f t="shared" si="72"/>
        <v>Government</v>
      </c>
      <c r="C634" s="2" t="s">
        <v>16</v>
      </c>
      <c r="D634" s="2" t="str">
        <f>PROPER(Table1[[#This Row],[Country]])</f>
        <v>Canada</v>
      </c>
      <c r="E634" s="3" t="s">
        <v>23</v>
      </c>
      <c r="F634" s="3" t="s">
        <v>35</v>
      </c>
      <c r="G634" s="13">
        <v>2227.5</v>
      </c>
      <c r="H634" s="4">
        <v>5</v>
      </c>
      <c r="I634" s="4">
        <v>350</v>
      </c>
      <c r="J634" s="4">
        <f t="shared" si="73"/>
        <v>779625</v>
      </c>
      <c r="K634" s="4">
        <v>109147.5</v>
      </c>
      <c r="L634" s="4">
        <f t="shared" si="74"/>
        <v>670477.5</v>
      </c>
      <c r="M634" s="4">
        <v>579150</v>
      </c>
      <c r="N634" s="4">
        <f t="shared" si="75"/>
        <v>91327.5</v>
      </c>
      <c r="O634" s="16">
        <f t="shared" si="76"/>
        <v>0.13621262458471761</v>
      </c>
      <c r="P634" s="19">
        <v>41640</v>
      </c>
      <c r="Q634" s="5">
        <f t="shared" si="77"/>
        <v>1</v>
      </c>
      <c r="R634" s="3" t="str">
        <f t="shared" si="78"/>
        <v>January</v>
      </c>
      <c r="S634" s="6">
        <f t="shared" si="79"/>
        <v>2014</v>
      </c>
    </row>
    <row r="635" spans="1:19" ht="12.75" x14ac:dyDescent="0.2">
      <c r="A635" s="2" t="s">
        <v>15</v>
      </c>
      <c r="B635" s="2" t="str">
        <f t="shared" si="72"/>
        <v>Government</v>
      </c>
      <c r="C635" s="2" t="s">
        <v>19</v>
      </c>
      <c r="D635" s="2" t="str">
        <f>PROPER(Table1[[#This Row],[Country]])</f>
        <v>Germany</v>
      </c>
      <c r="E635" s="3" t="s">
        <v>23</v>
      </c>
      <c r="F635" s="3" t="s">
        <v>35</v>
      </c>
      <c r="G635" s="13">
        <v>1199</v>
      </c>
      <c r="H635" s="4">
        <v>5</v>
      </c>
      <c r="I635" s="4">
        <v>350</v>
      </c>
      <c r="J635" s="4">
        <f t="shared" si="73"/>
        <v>419650</v>
      </c>
      <c r="K635" s="4">
        <v>58751</v>
      </c>
      <c r="L635" s="4">
        <f t="shared" si="74"/>
        <v>360899</v>
      </c>
      <c r="M635" s="4">
        <v>311740</v>
      </c>
      <c r="N635" s="4">
        <f t="shared" si="75"/>
        <v>49159</v>
      </c>
      <c r="O635" s="16">
        <f t="shared" si="76"/>
        <v>0.13621262458471761</v>
      </c>
      <c r="P635" s="19">
        <v>41730</v>
      </c>
      <c r="Q635" s="5">
        <f t="shared" si="77"/>
        <v>4</v>
      </c>
      <c r="R635" s="3" t="str">
        <f t="shared" si="78"/>
        <v>April</v>
      </c>
      <c r="S635" s="6">
        <f t="shared" si="79"/>
        <v>2014</v>
      </c>
    </row>
    <row r="636" spans="1:19" ht="12.75" x14ac:dyDescent="0.2">
      <c r="A636" s="2" t="s">
        <v>15</v>
      </c>
      <c r="B636" s="2" t="str">
        <f t="shared" si="72"/>
        <v>Government</v>
      </c>
      <c r="C636" s="2" t="s">
        <v>16</v>
      </c>
      <c r="D636" s="2" t="str">
        <f>PROPER(Table1[[#This Row],[Country]])</f>
        <v>Canada</v>
      </c>
      <c r="E636" s="3" t="s">
        <v>23</v>
      </c>
      <c r="F636" s="3" t="s">
        <v>35</v>
      </c>
      <c r="G636" s="13">
        <v>200</v>
      </c>
      <c r="H636" s="4">
        <v>5</v>
      </c>
      <c r="I636" s="4">
        <v>350</v>
      </c>
      <c r="J636" s="4">
        <f t="shared" si="73"/>
        <v>70000</v>
      </c>
      <c r="K636" s="4">
        <v>9800</v>
      </c>
      <c r="L636" s="4">
        <f t="shared" si="74"/>
        <v>60200</v>
      </c>
      <c r="M636" s="4">
        <v>52000</v>
      </c>
      <c r="N636" s="4">
        <f t="shared" si="75"/>
        <v>8200</v>
      </c>
      <c r="O636" s="16">
        <f t="shared" si="76"/>
        <v>0.13621262458471761</v>
      </c>
      <c r="P636" s="19">
        <v>41760</v>
      </c>
      <c r="Q636" s="5">
        <f t="shared" si="77"/>
        <v>5</v>
      </c>
      <c r="R636" s="3" t="str">
        <f t="shared" si="78"/>
        <v>May</v>
      </c>
      <c r="S636" s="6">
        <f t="shared" si="79"/>
        <v>2014</v>
      </c>
    </row>
    <row r="637" spans="1:19" ht="12.75" x14ac:dyDescent="0.2">
      <c r="A637" s="2" t="s">
        <v>15</v>
      </c>
      <c r="B637" s="2" t="str">
        <f t="shared" si="72"/>
        <v>Government</v>
      </c>
      <c r="C637" s="2" t="s">
        <v>16</v>
      </c>
      <c r="D637" s="2" t="str">
        <f>PROPER(Table1[[#This Row],[Country]])</f>
        <v>Canada</v>
      </c>
      <c r="E637" s="3" t="s">
        <v>23</v>
      </c>
      <c r="F637" s="3" t="s">
        <v>35</v>
      </c>
      <c r="G637" s="13">
        <v>388</v>
      </c>
      <c r="H637" s="4">
        <v>5</v>
      </c>
      <c r="I637" s="4">
        <v>7</v>
      </c>
      <c r="J637" s="4">
        <f t="shared" si="73"/>
        <v>2716</v>
      </c>
      <c r="K637" s="4">
        <v>380.24</v>
      </c>
      <c r="L637" s="4">
        <f t="shared" si="74"/>
        <v>2335.7600000000002</v>
      </c>
      <c r="M637" s="4">
        <v>1940</v>
      </c>
      <c r="N637" s="4">
        <f t="shared" si="75"/>
        <v>395.76000000000022</v>
      </c>
      <c r="O637" s="16">
        <f t="shared" si="76"/>
        <v>0.16943521594684394</v>
      </c>
      <c r="P637" s="19">
        <v>41883</v>
      </c>
      <c r="Q637" s="5">
        <f t="shared" si="77"/>
        <v>9</v>
      </c>
      <c r="R637" s="3" t="str">
        <f t="shared" si="78"/>
        <v>September</v>
      </c>
      <c r="S637" s="6">
        <f t="shared" si="79"/>
        <v>2014</v>
      </c>
    </row>
    <row r="638" spans="1:19" ht="12.75" x14ac:dyDescent="0.2">
      <c r="A638" s="2" t="s">
        <v>15</v>
      </c>
      <c r="B638" s="2" t="str">
        <f t="shared" si="72"/>
        <v>Government</v>
      </c>
      <c r="C638" s="2" t="s">
        <v>22</v>
      </c>
      <c r="D638" s="2" t="str">
        <f>PROPER(Table1[[#This Row],[Country]])</f>
        <v>Mexico</v>
      </c>
      <c r="E638" s="3" t="s">
        <v>23</v>
      </c>
      <c r="F638" s="3" t="s">
        <v>35</v>
      </c>
      <c r="G638" s="13">
        <v>1727</v>
      </c>
      <c r="H638" s="4">
        <v>5</v>
      </c>
      <c r="I638" s="4">
        <v>7</v>
      </c>
      <c r="J638" s="4">
        <f t="shared" si="73"/>
        <v>12089</v>
      </c>
      <c r="K638" s="4">
        <v>1692.46</v>
      </c>
      <c r="L638" s="4">
        <f t="shared" si="74"/>
        <v>10396.540000000001</v>
      </c>
      <c r="M638" s="4">
        <v>8635</v>
      </c>
      <c r="N638" s="4">
        <f t="shared" si="75"/>
        <v>1761.5400000000009</v>
      </c>
      <c r="O638" s="16">
        <f t="shared" si="76"/>
        <v>0.16943521594684394</v>
      </c>
      <c r="P638" s="19">
        <v>41548</v>
      </c>
      <c r="Q638" s="5">
        <f t="shared" si="77"/>
        <v>10</v>
      </c>
      <c r="R638" s="3" t="str">
        <f t="shared" si="78"/>
        <v>October</v>
      </c>
      <c r="S638" s="6">
        <f t="shared" si="79"/>
        <v>2013</v>
      </c>
    </row>
    <row r="639" spans="1:19" ht="12.75" x14ac:dyDescent="0.2">
      <c r="A639" s="2" t="s">
        <v>20</v>
      </c>
      <c r="B639" s="2" t="str">
        <f t="shared" si="72"/>
        <v>Midmarket</v>
      </c>
      <c r="C639" s="2" t="s">
        <v>16</v>
      </c>
      <c r="D639" s="2" t="str">
        <f>PROPER(Table1[[#This Row],[Country]])</f>
        <v>Canada</v>
      </c>
      <c r="E639" s="3" t="s">
        <v>23</v>
      </c>
      <c r="F639" s="3" t="s">
        <v>35</v>
      </c>
      <c r="G639" s="13">
        <v>2300</v>
      </c>
      <c r="H639" s="4">
        <v>5</v>
      </c>
      <c r="I639" s="4">
        <v>15</v>
      </c>
      <c r="J639" s="4">
        <f t="shared" si="73"/>
        <v>34500</v>
      </c>
      <c r="K639" s="4">
        <v>4830</v>
      </c>
      <c r="L639" s="4">
        <f t="shared" si="74"/>
        <v>29670</v>
      </c>
      <c r="M639" s="4">
        <v>23000</v>
      </c>
      <c r="N639" s="4">
        <f t="shared" si="75"/>
        <v>6670</v>
      </c>
      <c r="O639" s="16">
        <f t="shared" si="76"/>
        <v>0.22480620155038761</v>
      </c>
      <c r="P639" s="19">
        <v>41974</v>
      </c>
      <c r="Q639" s="5">
        <f t="shared" si="77"/>
        <v>12</v>
      </c>
      <c r="R639" s="3" t="str">
        <f t="shared" si="78"/>
        <v>December</v>
      </c>
      <c r="S639" s="6">
        <f t="shared" si="79"/>
        <v>2014</v>
      </c>
    </row>
    <row r="640" spans="1:19" ht="12.75" x14ac:dyDescent="0.2">
      <c r="A640" s="2" t="s">
        <v>15</v>
      </c>
      <c r="B640" s="2" t="str">
        <f t="shared" si="72"/>
        <v>Government</v>
      </c>
      <c r="C640" s="2" t="s">
        <v>22</v>
      </c>
      <c r="D640" s="2" t="str">
        <f>PROPER(Table1[[#This Row],[Country]])</f>
        <v>Mexico</v>
      </c>
      <c r="E640" s="3" t="s">
        <v>28</v>
      </c>
      <c r="F640" s="3" t="s">
        <v>35</v>
      </c>
      <c r="G640" s="13">
        <v>260</v>
      </c>
      <c r="H640" s="4">
        <v>10</v>
      </c>
      <c r="I640" s="4">
        <v>20</v>
      </c>
      <c r="J640" s="4">
        <f t="shared" si="73"/>
        <v>5200</v>
      </c>
      <c r="K640" s="4">
        <v>728</v>
      </c>
      <c r="L640" s="4">
        <f t="shared" si="74"/>
        <v>4472</v>
      </c>
      <c r="M640" s="4">
        <v>2600</v>
      </c>
      <c r="N640" s="4">
        <f t="shared" si="75"/>
        <v>1872</v>
      </c>
      <c r="O640" s="16">
        <f t="shared" si="76"/>
        <v>0.41860465116279072</v>
      </c>
      <c r="P640" s="19">
        <v>41671</v>
      </c>
      <c r="Q640" s="5">
        <f t="shared" si="77"/>
        <v>2</v>
      </c>
      <c r="R640" s="3" t="str">
        <f t="shared" si="78"/>
        <v>February</v>
      </c>
      <c r="S640" s="6">
        <f t="shared" si="79"/>
        <v>2014</v>
      </c>
    </row>
    <row r="641" spans="1:19" ht="12.75" x14ac:dyDescent="0.2">
      <c r="A641" s="2" t="s">
        <v>20</v>
      </c>
      <c r="B641" s="2" t="str">
        <f t="shared" si="72"/>
        <v>Midmarket</v>
      </c>
      <c r="C641" s="2" t="s">
        <v>16</v>
      </c>
      <c r="D641" s="2" t="str">
        <f>PROPER(Table1[[#This Row],[Country]])</f>
        <v>Canada</v>
      </c>
      <c r="E641" s="3" t="s">
        <v>28</v>
      </c>
      <c r="F641" s="3" t="s">
        <v>35</v>
      </c>
      <c r="G641" s="13">
        <v>2470</v>
      </c>
      <c r="H641" s="4">
        <v>10</v>
      </c>
      <c r="I641" s="4">
        <v>15</v>
      </c>
      <c r="J641" s="4">
        <f t="shared" si="73"/>
        <v>37050</v>
      </c>
      <c r="K641" s="4">
        <v>5187</v>
      </c>
      <c r="L641" s="4">
        <f t="shared" si="74"/>
        <v>31863</v>
      </c>
      <c r="M641" s="4">
        <v>24700</v>
      </c>
      <c r="N641" s="4">
        <f t="shared" si="75"/>
        <v>7163</v>
      </c>
      <c r="O641" s="16">
        <f t="shared" si="76"/>
        <v>0.22480620155038761</v>
      </c>
      <c r="P641" s="19">
        <v>41518</v>
      </c>
      <c r="Q641" s="5">
        <f t="shared" si="77"/>
        <v>9</v>
      </c>
      <c r="R641" s="3" t="str">
        <f t="shared" si="78"/>
        <v>September</v>
      </c>
      <c r="S641" s="6">
        <f t="shared" si="79"/>
        <v>2013</v>
      </c>
    </row>
    <row r="642" spans="1:19" ht="12.75" x14ac:dyDescent="0.2">
      <c r="A642" s="2" t="s">
        <v>20</v>
      </c>
      <c r="B642" s="2" t="str">
        <f t="shared" ref="B642:B701" si="80">PROPER(A642)</f>
        <v>Midmarket</v>
      </c>
      <c r="C642" s="2" t="s">
        <v>16</v>
      </c>
      <c r="D642" s="2" t="str">
        <f>PROPER(Table1[[#This Row],[Country]])</f>
        <v>Canada</v>
      </c>
      <c r="E642" s="3" t="s">
        <v>28</v>
      </c>
      <c r="F642" s="3" t="s">
        <v>35</v>
      </c>
      <c r="G642" s="13">
        <v>1743</v>
      </c>
      <c r="H642" s="4">
        <v>10</v>
      </c>
      <c r="I642" s="4">
        <v>15</v>
      </c>
      <c r="J642" s="4">
        <f t="shared" si="73"/>
        <v>26145</v>
      </c>
      <c r="K642" s="4">
        <v>3660.3</v>
      </c>
      <c r="L642" s="4">
        <f t="shared" si="74"/>
        <v>22484.7</v>
      </c>
      <c r="M642" s="4">
        <v>17430</v>
      </c>
      <c r="N642" s="4">
        <f t="shared" si="75"/>
        <v>5054.7000000000007</v>
      </c>
      <c r="O642" s="16">
        <f t="shared" si="76"/>
        <v>0.22480620155038764</v>
      </c>
      <c r="P642" s="19">
        <v>41548</v>
      </c>
      <c r="Q642" s="5">
        <f t="shared" si="77"/>
        <v>10</v>
      </c>
      <c r="R642" s="3" t="str">
        <f t="shared" si="78"/>
        <v>October</v>
      </c>
      <c r="S642" s="6">
        <f t="shared" si="79"/>
        <v>2013</v>
      </c>
    </row>
    <row r="643" spans="1:19" ht="12.75" x14ac:dyDescent="0.2">
      <c r="A643" s="2" t="s">
        <v>24</v>
      </c>
      <c r="B643" s="2" t="str">
        <f t="shared" si="80"/>
        <v>Channel Partners</v>
      </c>
      <c r="C643" s="2" t="s">
        <v>71</v>
      </c>
      <c r="D643" s="2" t="str">
        <f>PROPER(Table1[[#This Row],[Country]])</f>
        <v>Usa</v>
      </c>
      <c r="E643" s="3" t="s">
        <v>28</v>
      </c>
      <c r="F643" s="3" t="s">
        <v>35</v>
      </c>
      <c r="G643" s="13">
        <v>2914</v>
      </c>
      <c r="H643" s="4">
        <v>10</v>
      </c>
      <c r="I643" s="4">
        <v>12</v>
      </c>
      <c r="J643" s="4">
        <f t="shared" ref="J643:J701" si="81">G643*I643</f>
        <v>34968</v>
      </c>
      <c r="K643" s="4">
        <v>4895.5200000000004</v>
      </c>
      <c r="L643" s="4">
        <f t="shared" ref="L643:L701" si="82">J643-K643</f>
        <v>30072.48</v>
      </c>
      <c r="M643" s="4">
        <v>8742</v>
      </c>
      <c r="N643" s="4">
        <f t="shared" ref="N643:N701" si="83">L643-M643</f>
        <v>21330.48</v>
      </c>
      <c r="O643" s="16">
        <f t="shared" ref="O643:O701" si="84">N643/L643</f>
        <v>0.70930232558139539</v>
      </c>
      <c r="P643" s="19">
        <v>41913</v>
      </c>
      <c r="Q643" s="5">
        <f t="shared" ref="Q643:Q701" si="85">MONTH(P643)</f>
        <v>10</v>
      </c>
      <c r="R643" s="3" t="str">
        <f t="shared" ref="R643:R701" si="86">TEXT(P643,"mmmm")</f>
        <v>October</v>
      </c>
      <c r="S643" s="6">
        <f t="shared" ref="S643:S701" si="87">YEAR(P643)</f>
        <v>2014</v>
      </c>
    </row>
    <row r="644" spans="1:19" ht="12.75" x14ac:dyDescent="0.2">
      <c r="A644" s="2" t="s">
        <v>15</v>
      </c>
      <c r="B644" s="2" t="str">
        <f t="shared" si="80"/>
        <v>Government</v>
      </c>
      <c r="C644" s="2" t="s">
        <v>21</v>
      </c>
      <c r="D644" s="2" t="str">
        <f>PROPER(Table1[[#This Row],[Country]])</f>
        <v>France</v>
      </c>
      <c r="E644" s="3" t="s">
        <v>28</v>
      </c>
      <c r="F644" s="3" t="s">
        <v>35</v>
      </c>
      <c r="G644" s="13">
        <v>1731</v>
      </c>
      <c r="H644" s="4">
        <v>10</v>
      </c>
      <c r="I644" s="4">
        <v>7</v>
      </c>
      <c r="J644" s="4">
        <f t="shared" si="81"/>
        <v>12117</v>
      </c>
      <c r="K644" s="4">
        <v>1696.38</v>
      </c>
      <c r="L644" s="4">
        <f t="shared" si="82"/>
        <v>10420.619999999999</v>
      </c>
      <c r="M644" s="4">
        <v>8655</v>
      </c>
      <c r="N644" s="4">
        <f t="shared" si="83"/>
        <v>1765.619999999999</v>
      </c>
      <c r="O644" s="16">
        <f t="shared" si="84"/>
        <v>0.16943521594684377</v>
      </c>
      <c r="P644" s="19">
        <v>41913</v>
      </c>
      <c r="Q644" s="5">
        <f t="shared" si="85"/>
        <v>10</v>
      </c>
      <c r="R644" s="3" t="str">
        <f t="shared" si="86"/>
        <v>October</v>
      </c>
      <c r="S644" s="6">
        <f t="shared" si="87"/>
        <v>2014</v>
      </c>
    </row>
    <row r="645" spans="1:19" ht="12.75" x14ac:dyDescent="0.2">
      <c r="A645" s="2" t="s">
        <v>15</v>
      </c>
      <c r="B645" s="2" t="str">
        <f t="shared" si="80"/>
        <v>Government</v>
      </c>
      <c r="C645" s="2" t="s">
        <v>16</v>
      </c>
      <c r="D645" s="2" t="str">
        <f>PROPER(Table1[[#This Row],[Country]])</f>
        <v>Canada</v>
      </c>
      <c r="E645" s="3" t="s">
        <v>28</v>
      </c>
      <c r="F645" s="3" t="s">
        <v>35</v>
      </c>
      <c r="G645" s="13">
        <v>700</v>
      </c>
      <c r="H645" s="4">
        <v>10</v>
      </c>
      <c r="I645" s="4">
        <v>350</v>
      </c>
      <c r="J645" s="4">
        <f t="shared" si="81"/>
        <v>245000</v>
      </c>
      <c r="K645" s="4">
        <v>34300</v>
      </c>
      <c r="L645" s="4">
        <f t="shared" si="82"/>
        <v>210700</v>
      </c>
      <c r="M645" s="4">
        <v>182000</v>
      </c>
      <c r="N645" s="4">
        <f t="shared" si="83"/>
        <v>28700</v>
      </c>
      <c r="O645" s="16">
        <f t="shared" si="84"/>
        <v>0.13621262458471761</v>
      </c>
      <c r="P645" s="19">
        <v>41944</v>
      </c>
      <c r="Q645" s="5">
        <f t="shared" si="85"/>
        <v>11</v>
      </c>
      <c r="R645" s="3" t="str">
        <f t="shared" si="86"/>
        <v>November</v>
      </c>
      <c r="S645" s="6">
        <f t="shared" si="87"/>
        <v>2014</v>
      </c>
    </row>
    <row r="646" spans="1:19" ht="12.75" x14ac:dyDescent="0.2">
      <c r="A646" s="2" t="s">
        <v>24</v>
      </c>
      <c r="B646" s="2" t="str">
        <f t="shared" si="80"/>
        <v>Channel Partners</v>
      </c>
      <c r="C646" s="2" t="s">
        <v>16</v>
      </c>
      <c r="D646" s="2" t="str">
        <f>PROPER(Table1[[#This Row],[Country]])</f>
        <v>Canada</v>
      </c>
      <c r="E646" s="3" t="s">
        <v>28</v>
      </c>
      <c r="F646" s="3" t="s">
        <v>35</v>
      </c>
      <c r="G646" s="13">
        <v>2222</v>
      </c>
      <c r="H646" s="4">
        <v>10</v>
      </c>
      <c r="I646" s="4">
        <v>12</v>
      </c>
      <c r="J646" s="4">
        <f t="shared" si="81"/>
        <v>26664</v>
      </c>
      <c r="K646" s="4">
        <v>3732.96</v>
      </c>
      <c r="L646" s="4">
        <f t="shared" si="82"/>
        <v>22931.040000000001</v>
      </c>
      <c r="M646" s="4">
        <v>6666</v>
      </c>
      <c r="N646" s="4">
        <f t="shared" si="83"/>
        <v>16265.04</v>
      </c>
      <c r="O646" s="16">
        <f t="shared" si="84"/>
        <v>0.70930232558139539</v>
      </c>
      <c r="P646" s="19">
        <v>41579</v>
      </c>
      <c r="Q646" s="5">
        <f t="shared" si="85"/>
        <v>11</v>
      </c>
      <c r="R646" s="3" t="str">
        <f t="shared" si="86"/>
        <v>November</v>
      </c>
      <c r="S646" s="6">
        <f t="shared" si="87"/>
        <v>2013</v>
      </c>
    </row>
    <row r="647" spans="1:19" ht="12.75" x14ac:dyDescent="0.2">
      <c r="A647" s="2" t="s">
        <v>15</v>
      </c>
      <c r="B647" s="2" t="str">
        <f t="shared" si="80"/>
        <v>Government</v>
      </c>
      <c r="C647" s="2" t="s">
        <v>71</v>
      </c>
      <c r="D647" s="2" t="str">
        <f>PROPER(Table1[[#This Row],[Country]])</f>
        <v>Usa</v>
      </c>
      <c r="E647" s="3" t="s">
        <v>28</v>
      </c>
      <c r="F647" s="3" t="s">
        <v>35</v>
      </c>
      <c r="G647" s="13">
        <v>1177</v>
      </c>
      <c r="H647" s="4">
        <v>10</v>
      </c>
      <c r="I647" s="4">
        <v>350</v>
      </c>
      <c r="J647" s="4">
        <f t="shared" si="81"/>
        <v>411950</v>
      </c>
      <c r="K647" s="4">
        <v>57673</v>
      </c>
      <c r="L647" s="4">
        <f t="shared" si="82"/>
        <v>354277</v>
      </c>
      <c r="M647" s="4">
        <v>306020</v>
      </c>
      <c r="N647" s="4">
        <f t="shared" si="83"/>
        <v>48257</v>
      </c>
      <c r="O647" s="16">
        <f t="shared" si="84"/>
        <v>0.13621262458471761</v>
      </c>
      <c r="P647" s="19">
        <v>41944</v>
      </c>
      <c r="Q647" s="5">
        <f t="shared" si="85"/>
        <v>11</v>
      </c>
      <c r="R647" s="3" t="str">
        <f t="shared" si="86"/>
        <v>November</v>
      </c>
      <c r="S647" s="6">
        <f t="shared" si="87"/>
        <v>2014</v>
      </c>
    </row>
    <row r="648" spans="1:19" ht="12.75" x14ac:dyDescent="0.2">
      <c r="A648" s="2" t="s">
        <v>15</v>
      </c>
      <c r="B648" s="2" t="str">
        <f t="shared" si="80"/>
        <v>Government</v>
      </c>
      <c r="C648" s="2" t="s">
        <v>21</v>
      </c>
      <c r="D648" s="2" t="str">
        <f>PROPER(Table1[[#This Row],[Country]])</f>
        <v>France</v>
      </c>
      <c r="E648" s="3" t="s">
        <v>28</v>
      </c>
      <c r="F648" s="3" t="s">
        <v>35</v>
      </c>
      <c r="G648" s="13">
        <v>1922</v>
      </c>
      <c r="H648" s="4">
        <v>10</v>
      </c>
      <c r="I648" s="4">
        <v>350</v>
      </c>
      <c r="J648" s="4">
        <f t="shared" si="81"/>
        <v>672700</v>
      </c>
      <c r="K648" s="4">
        <v>94178</v>
      </c>
      <c r="L648" s="4">
        <f t="shared" si="82"/>
        <v>578522</v>
      </c>
      <c r="M648" s="4">
        <v>499720</v>
      </c>
      <c r="N648" s="4">
        <f t="shared" si="83"/>
        <v>78802</v>
      </c>
      <c r="O648" s="16">
        <f t="shared" si="84"/>
        <v>0.13621262458471761</v>
      </c>
      <c r="P648" s="19">
        <v>41579</v>
      </c>
      <c r="Q648" s="5">
        <f t="shared" si="85"/>
        <v>11</v>
      </c>
      <c r="R648" s="3" t="str">
        <f t="shared" si="86"/>
        <v>November</v>
      </c>
      <c r="S648" s="6">
        <f t="shared" si="87"/>
        <v>2013</v>
      </c>
    </row>
    <row r="649" spans="1:19" ht="12.75" x14ac:dyDescent="0.2">
      <c r="A649" s="2" t="s">
        <v>25</v>
      </c>
      <c r="B649" s="2" t="str">
        <f t="shared" si="80"/>
        <v>Enterprise</v>
      </c>
      <c r="C649" s="2" t="s">
        <v>22</v>
      </c>
      <c r="D649" s="2" t="str">
        <f>PROPER(Table1[[#This Row],[Country]])</f>
        <v>Mexico</v>
      </c>
      <c r="E649" s="3" t="s">
        <v>30</v>
      </c>
      <c r="F649" s="3" t="s">
        <v>35</v>
      </c>
      <c r="G649" s="13">
        <v>1575</v>
      </c>
      <c r="H649" s="4">
        <v>120</v>
      </c>
      <c r="I649" s="4">
        <v>125</v>
      </c>
      <c r="J649" s="4">
        <f t="shared" si="81"/>
        <v>196875</v>
      </c>
      <c r="K649" s="4">
        <v>27562.5</v>
      </c>
      <c r="L649" s="4">
        <f t="shared" si="82"/>
        <v>169312.5</v>
      </c>
      <c r="M649" s="4">
        <v>189000</v>
      </c>
      <c r="N649" s="4">
        <f t="shared" si="83"/>
        <v>-19687.5</v>
      </c>
      <c r="O649" s="16">
        <f t="shared" si="84"/>
        <v>-0.11627906976744186</v>
      </c>
      <c r="P649" s="19">
        <v>41671</v>
      </c>
      <c r="Q649" s="5">
        <f t="shared" si="85"/>
        <v>2</v>
      </c>
      <c r="R649" s="3" t="str">
        <f t="shared" si="86"/>
        <v>February</v>
      </c>
      <c r="S649" s="6">
        <f t="shared" si="87"/>
        <v>2014</v>
      </c>
    </row>
    <row r="650" spans="1:19" ht="12.75" x14ac:dyDescent="0.2">
      <c r="A650" s="2" t="s">
        <v>15</v>
      </c>
      <c r="B650" s="2" t="str">
        <f t="shared" si="80"/>
        <v>Government</v>
      </c>
      <c r="C650" s="2" t="s">
        <v>71</v>
      </c>
      <c r="D650" s="2" t="str">
        <f>PROPER(Table1[[#This Row],[Country]])</f>
        <v>Usa</v>
      </c>
      <c r="E650" s="3" t="s">
        <v>30</v>
      </c>
      <c r="F650" s="3" t="s">
        <v>35</v>
      </c>
      <c r="G650" s="13">
        <v>606</v>
      </c>
      <c r="H650" s="4">
        <v>120</v>
      </c>
      <c r="I650" s="4">
        <v>20</v>
      </c>
      <c r="J650" s="4">
        <f t="shared" si="81"/>
        <v>12120</v>
      </c>
      <c r="K650" s="4">
        <v>1696.8000000000002</v>
      </c>
      <c r="L650" s="4">
        <f t="shared" si="82"/>
        <v>10423.200000000001</v>
      </c>
      <c r="M650" s="4">
        <v>6060</v>
      </c>
      <c r="N650" s="4">
        <f t="shared" si="83"/>
        <v>4363.2000000000007</v>
      </c>
      <c r="O650" s="16">
        <f t="shared" si="84"/>
        <v>0.41860465116279072</v>
      </c>
      <c r="P650" s="19">
        <v>41730</v>
      </c>
      <c r="Q650" s="5">
        <f t="shared" si="85"/>
        <v>4</v>
      </c>
      <c r="R650" s="3" t="str">
        <f t="shared" si="86"/>
        <v>April</v>
      </c>
      <c r="S650" s="6">
        <f t="shared" si="87"/>
        <v>2014</v>
      </c>
    </row>
    <row r="651" spans="1:19" ht="12.75" x14ac:dyDescent="0.2">
      <c r="A651" s="2" t="s">
        <v>29</v>
      </c>
      <c r="B651" s="2" t="str">
        <f t="shared" si="80"/>
        <v>Small Business</v>
      </c>
      <c r="C651" s="2" t="s">
        <v>71</v>
      </c>
      <c r="D651" s="2" t="str">
        <f>PROPER(Table1[[#This Row],[Country]])</f>
        <v>Usa</v>
      </c>
      <c r="E651" s="3" t="s">
        <v>30</v>
      </c>
      <c r="F651" s="3" t="s">
        <v>35</v>
      </c>
      <c r="G651" s="13">
        <v>2460</v>
      </c>
      <c r="H651" s="4">
        <v>120</v>
      </c>
      <c r="I651" s="4">
        <v>300</v>
      </c>
      <c r="J651" s="4">
        <f t="shared" si="81"/>
        <v>738000</v>
      </c>
      <c r="K651" s="4">
        <v>103320</v>
      </c>
      <c r="L651" s="4">
        <f t="shared" si="82"/>
        <v>634680</v>
      </c>
      <c r="M651" s="4">
        <v>615000</v>
      </c>
      <c r="N651" s="4">
        <f t="shared" si="83"/>
        <v>19680</v>
      </c>
      <c r="O651" s="16">
        <f t="shared" si="84"/>
        <v>3.1007751937984496E-2</v>
      </c>
      <c r="P651" s="19">
        <v>41821</v>
      </c>
      <c r="Q651" s="5">
        <f t="shared" si="85"/>
        <v>7</v>
      </c>
      <c r="R651" s="3" t="str">
        <f t="shared" si="86"/>
        <v>July</v>
      </c>
      <c r="S651" s="6">
        <f t="shared" si="87"/>
        <v>2014</v>
      </c>
    </row>
    <row r="652" spans="1:19" ht="12.75" x14ac:dyDescent="0.2">
      <c r="A652" s="2" t="s">
        <v>29</v>
      </c>
      <c r="B652" s="2" t="str">
        <f t="shared" si="80"/>
        <v>Small Business</v>
      </c>
      <c r="C652" s="2" t="s">
        <v>16</v>
      </c>
      <c r="D652" s="2" t="str">
        <f>PROPER(Table1[[#This Row],[Country]])</f>
        <v>Canada</v>
      </c>
      <c r="E652" s="3" t="s">
        <v>30</v>
      </c>
      <c r="F652" s="3" t="s">
        <v>35</v>
      </c>
      <c r="G652" s="13">
        <v>269</v>
      </c>
      <c r="H652" s="4">
        <v>120</v>
      </c>
      <c r="I652" s="4">
        <v>300</v>
      </c>
      <c r="J652" s="4">
        <f t="shared" si="81"/>
        <v>80700</v>
      </c>
      <c r="K652" s="4">
        <v>11298</v>
      </c>
      <c r="L652" s="4">
        <f t="shared" si="82"/>
        <v>69402</v>
      </c>
      <c r="M652" s="4">
        <v>67250</v>
      </c>
      <c r="N652" s="4">
        <f t="shared" si="83"/>
        <v>2152</v>
      </c>
      <c r="O652" s="16">
        <f t="shared" si="84"/>
        <v>3.1007751937984496E-2</v>
      </c>
      <c r="P652" s="19">
        <v>41548</v>
      </c>
      <c r="Q652" s="5">
        <f t="shared" si="85"/>
        <v>10</v>
      </c>
      <c r="R652" s="3" t="str">
        <f t="shared" si="86"/>
        <v>October</v>
      </c>
      <c r="S652" s="6">
        <f t="shared" si="87"/>
        <v>2013</v>
      </c>
    </row>
    <row r="653" spans="1:19" ht="12.75" x14ac:dyDescent="0.2">
      <c r="A653" s="2" t="s">
        <v>29</v>
      </c>
      <c r="B653" s="2" t="str">
        <f t="shared" si="80"/>
        <v>Small Business</v>
      </c>
      <c r="C653" s="2" t="s">
        <v>19</v>
      </c>
      <c r="D653" s="2" t="str">
        <f>PROPER(Table1[[#This Row],[Country]])</f>
        <v>Germany</v>
      </c>
      <c r="E653" s="3" t="s">
        <v>30</v>
      </c>
      <c r="F653" s="3" t="s">
        <v>35</v>
      </c>
      <c r="G653" s="13">
        <v>2536</v>
      </c>
      <c r="H653" s="4">
        <v>120</v>
      </c>
      <c r="I653" s="4">
        <v>300</v>
      </c>
      <c r="J653" s="4">
        <f t="shared" si="81"/>
        <v>760800</v>
      </c>
      <c r="K653" s="4">
        <v>106512</v>
      </c>
      <c r="L653" s="4">
        <f t="shared" si="82"/>
        <v>654288</v>
      </c>
      <c r="M653" s="4">
        <v>634000</v>
      </c>
      <c r="N653" s="4">
        <f t="shared" si="83"/>
        <v>20288</v>
      </c>
      <c r="O653" s="16">
        <f t="shared" si="84"/>
        <v>3.1007751937984496E-2</v>
      </c>
      <c r="P653" s="19">
        <v>41579</v>
      </c>
      <c r="Q653" s="5">
        <f t="shared" si="85"/>
        <v>11</v>
      </c>
      <c r="R653" s="3" t="str">
        <f t="shared" si="86"/>
        <v>November</v>
      </c>
      <c r="S653" s="6">
        <f t="shared" si="87"/>
        <v>2013</v>
      </c>
    </row>
    <row r="654" spans="1:19" ht="12.75" x14ac:dyDescent="0.2">
      <c r="A654" s="2" t="s">
        <v>15</v>
      </c>
      <c r="B654" s="2" t="str">
        <f t="shared" si="80"/>
        <v>Government</v>
      </c>
      <c r="C654" s="2" t="s">
        <v>22</v>
      </c>
      <c r="D654" s="2" t="str">
        <f>PROPER(Table1[[#This Row],[Country]])</f>
        <v>Mexico</v>
      </c>
      <c r="E654" s="3" t="s">
        <v>31</v>
      </c>
      <c r="F654" s="3" t="s">
        <v>35</v>
      </c>
      <c r="G654" s="13">
        <v>2903</v>
      </c>
      <c r="H654" s="4">
        <v>250</v>
      </c>
      <c r="I654" s="4">
        <v>7</v>
      </c>
      <c r="J654" s="4">
        <f t="shared" si="81"/>
        <v>20321</v>
      </c>
      <c r="K654" s="4">
        <v>2844.94</v>
      </c>
      <c r="L654" s="4">
        <f t="shared" si="82"/>
        <v>17476.060000000001</v>
      </c>
      <c r="M654" s="4">
        <v>14515</v>
      </c>
      <c r="N654" s="4">
        <f t="shared" si="83"/>
        <v>2961.0600000000013</v>
      </c>
      <c r="O654" s="16">
        <f t="shared" si="84"/>
        <v>0.16943521594684391</v>
      </c>
      <c r="P654" s="19">
        <v>41699</v>
      </c>
      <c r="Q654" s="5">
        <f t="shared" si="85"/>
        <v>3</v>
      </c>
      <c r="R654" s="3" t="str">
        <f t="shared" si="86"/>
        <v>March</v>
      </c>
      <c r="S654" s="6">
        <f t="shared" si="87"/>
        <v>2014</v>
      </c>
    </row>
    <row r="655" spans="1:19" ht="12.75" x14ac:dyDescent="0.2">
      <c r="A655" s="2" t="s">
        <v>29</v>
      </c>
      <c r="B655" s="2" t="str">
        <f t="shared" si="80"/>
        <v>Small Business</v>
      </c>
      <c r="C655" s="2" t="s">
        <v>71</v>
      </c>
      <c r="D655" s="2" t="str">
        <f>PROPER(Table1[[#This Row],[Country]])</f>
        <v>Usa</v>
      </c>
      <c r="E655" s="3" t="s">
        <v>31</v>
      </c>
      <c r="F655" s="3" t="s">
        <v>35</v>
      </c>
      <c r="G655" s="13">
        <v>2541</v>
      </c>
      <c r="H655" s="4">
        <v>250</v>
      </c>
      <c r="I655" s="4">
        <v>300</v>
      </c>
      <c r="J655" s="4">
        <f t="shared" si="81"/>
        <v>762300</v>
      </c>
      <c r="K655" s="4">
        <v>106722</v>
      </c>
      <c r="L655" s="4">
        <f t="shared" si="82"/>
        <v>655578</v>
      </c>
      <c r="M655" s="4">
        <v>635250</v>
      </c>
      <c r="N655" s="4">
        <f t="shared" si="83"/>
        <v>20328</v>
      </c>
      <c r="O655" s="16">
        <f t="shared" si="84"/>
        <v>3.1007751937984496E-2</v>
      </c>
      <c r="P655" s="19">
        <v>41852</v>
      </c>
      <c r="Q655" s="5">
        <f t="shared" si="85"/>
        <v>8</v>
      </c>
      <c r="R655" s="3" t="str">
        <f t="shared" si="86"/>
        <v>August</v>
      </c>
      <c r="S655" s="6">
        <f t="shared" si="87"/>
        <v>2014</v>
      </c>
    </row>
    <row r="656" spans="1:19" ht="12.75" x14ac:dyDescent="0.2">
      <c r="A656" s="2" t="s">
        <v>29</v>
      </c>
      <c r="B656" s="2" t="str">
        <f t="shared" si="80"/>
        <v>Small Business</v>
      </c>
      <c r="C656" s="2" t="s">
        <v>16</v>
      </c>
      <c r="D656" s="2" t="str">
        <f>PROPER(Table1[[#This Row],[Country]])</f>
        <v>Canada</v>
      </c>
      <c r="E656" s="3" t="s">
        <v>31</v>
      </c>
      <c r="F656" s="3" t="s">
        <v>35</v>
      </c>
      <c r="G656" s="13">
        <v>269</v>
      </c>
      <c r="H656" s="4">
        <v>250</v>
      </c>
      <c r="I656" s="4">
        <v>300</v>
      </c>
      <c r="J656" s="4">
        <f t="shared" si="81"/>
        <v>80700</v>
      </c>
      <c r="K656" s="4">
        <v>11298</v>
      </c>
      <c r="L656" s="4">
        <f t="shared" si="82"/>
        <v>69402</v>
      </c>
      <c r="M656" s="4">
        <v>67250</v>
      </c>
      <c r="N656" s="4">
        <f t="shared" si="83"/>
        <v>2152</v>
      </c>
      <c r="O656" s="16">
        <f t="shared" si="84"/>
        <v>3.1007751937984496E-2</v>
      </c>
      <c r="P656" s="19">
        <v>41548</v>
      </c>
      <c r="Q656" s="5">
        <f t="shared" si="85"/>
        <v>10</v>
      </c>
      <c r="R656" s="3" t="str">
        <f t="shared" si="86"/>
        <v>October</v>
      </c>
      <c r="S656" s="6">
        <f t="shared" si="87"/>
        <v>2013</v>
      </c>
    </row>
    <row r="657" spans="1:19" ht="12.75" x14ac:dyDescent="0.2">
      <c r="A657" s="2" t="s">
        <v>29</v>
      </c>
      <c r="B657" s="2" t="str">
        <f t="shared" si="80"/>
        <v>Small Business</v>
      </c>
      <c r="C657" s="2" t="s">
        <v>16</v>
      </c>
      <c r="D657" s="2" t="str">
        <f>PROPER(Table1[[#This Row],[Country]])</f>
        <v>Canada</v>
      </c>
      <c r="E657" s="3" t="s">
        <v>31</v>
      </c>
      <c r="F657" s="3" t="s">
        <v>35</v>
      </c>
      <c r="G657" s="13">
        <v>1496</v>
      </c>
      <c r="H657" s="4">
        <v>250</v>
      </c>
      <c r="I657" s="4">
        <v>300</v>
      </c>
      <c r="J657" s="4">
        <f t="shared" si="81"/>
        <v>448800</v>
      </c>
      <c r="K657" s="4">
        <v>62832</v>
      </c>
      <c r="L657" s="4">
        <f t="shared" si="82"/>
        <v>385968</v>
      </c>
      <c r="M657" s="4">
        <v>374000</v>
      </c>
      <c r="N657" s="4">
        <f t="shared" si="83"/>
        <v>11968</v>
      </c>
      <c r="O657" s="16">
        <f t="shared" si="84"/>
        <v>3.1007751937984496E-2</v>
      </c>
      <c r="P657" s="19">
        <v>41913</v>
      </c>
      <c r="Q657" s="5">
        <f t="shared" si="85"/>
        <v>10</v>
      </c>
      <c r="R657" s="3" t="str">
        <f t="shared" si="86"/>
        <v>October</v>
      </c>
      <c r="S657" s="6">
        <f t="shared" si="87"/>
        <v>2014</v>
      </c>
    </row>
    <row r="658" spans="1:19" ht="12.75" x14ac:dyDescent="0.2">
      <c r="A658" s="2" t="s">
        <v>29</v>
      </c>
      <c r="B658" s="2" t="str">
        <f t="shared" si="80"/>
        <v>Small Business</v>
      </c>
      <c r="C658" s="2" t="s">
        <v>71</v>
      </c>
      <c r="D658" s="2" t="str">
        <f>PROPER(Table1[[#This Row],[Country]])</f>
        <v>Usa</v>
      </c>
      <c r="E658" s="3" t="s">
        <v>31</v>
      </c>
      <c r="F658" s="3" t="s">
        <v>35</v>
      </c>
      <c r="G658" s="13">
        <v>1010</v>
      </c>
      <c r="H658" s="4">
        <v>250</v>
      </c>
      <c r="I658" s="4">
        <v>300</v>
      </c>
      <c r="J658" s="4">
        <f t="shared" si="81"/>
        <v>303000</v>
      </c>
      <c r="K658" s="4">
        <v>42420</v>
      </c>
      <c r="L658" s="4">
        <f t="shared" si="82"/>
        <v>260580</v>
      </c>
      <c r="M658" s="4">
        <v>252500</v>
      </c>
      <c r="N658" s="4">
        <f t="shared" si="83"/>
        <v>8080</v>
      </c>
      <c r="O658" s="16">
        <f t="shared" si="84"/>
        <v>3.1007751937984496E-2</v>
      </c>
      <c r="P658" s="19">
        <v>41913</v>
      </c>
      <c r="Q658" s="5">
        <f t="shared" si="85"/>
        <v>10</v>
      </c>
      <c r="R658" s="3" t="str">
        <f t="shared" si="86"/>
        <v>October</v>
      </c>
      <c r="S658" s="6">
        <f t="shared" si="87"/>
        <v>2014</v>
      </c>
    </row>
    <row r="659" spans="1:19" ht="12.75" x14ac:dyDescent="0.2">
      <c r="A659" s="2" t="s">
        <v>15</v>
      </c>
      <c r="B659" s="2" t="str">
        <f t="shared" si="80"/>
        <v>Government</v>
      </c>
      <c r="C659" s="2" t="s">
        <v>21</v>
      </c>
      <c r="D659" s="2" t="str">
        <f>PROPER(Table1[[#This Row],[Country]])</f>
        <v>France</v>
      </c>
      <c r="E659" s="3" t="s">
        <v>31</v>
      </c>
      <c r="F659" s="3" t="s">
        <v>35</v>
      </c>
      <c r="G659" s="13">
        <v>1281</v>
      </c>
      <c r="H659" s="4">
        <v>250</v>
      </c>
      <c r="I659" s="4">
        <v>350</v>
      </c>
      <c r="J659" s="4">
        <f t="shared" si="81"/>
        <v>448350</v>
      </c>
      <c r="K659" s="4">
        <v>62769</v>
      </c>
      <c r="L659" s="4">
        <f t="shared" si="82"/>
        <v>385581</v>
      </c>
      <c r="M659" s="4">
        <v>333060</v>
      </c>
      <c r="N659" s="4">
        <f t="shared" si="83"/>
        <v>52521</v>
      </c>
      <c r="O659" s="16">
        <f t="shared" si="84"/>
        <v>0.13621262458471761</v>
      </c>
      <c r="P659" s="19">
        <v>41609</v>
      </c>
      <c r="Q659" s="5">
        <f t="shared" si="85"/>
        <v>12</v>
      </c>
      <c r="R659" s="3" t="str">
        <f t="shared" si="86"/>
        <v>December</v>
      </c>
      <c r="S659" s="6">
        <f t="shared" si="87"/>
        <v>2013</v>
      </c>
    </row>
    <row r="660" spans="1:19" ht="12.75" x14ac:dyDescent="0.2">
      <c r="A660" s="2" t="s">
        <v>29</v>
      </c>
      <c r="B660" s="2" t="str">
        <f t="shared" si="80"/>
        <v>Small Business</v>
      </c>
      <c r="C660" s="2" t="s">
        <v>16</v>
      </c>
      <c r="D660" s="2" t="str">
        <f>PROPER(Table1[[#This Row],[Country]])</f>
        <v>Canada</v>
      </c>
      <c r="E660" s="3" t="s">
        <v>32</v>
      </c>
      <c r="F660" s="3" t="s">
        <v>35</v>
      </c>
      <c r="G660" s="13">
        <v>888</v>
      </c>
      <c r="H660" s="4">
        <v>260</v>
      </c>
      <c r="I660" s="4">
        <v>300</v>
      </c>
      <c r="J660" s="4">
        <f t="shared" si="81"/>
        <v>266400</v>
      </c>
      <c r="K660" s="4">
        <v>37296</v>
      </c>
      <c r="L660" s="4">
        <f t="shared" si="82"/>
        <v>229104</v>
      </c>
      <c r="M660" s="4">
        <v>222000</v>
      </c>
      <c r="N660" s="4">
        <f t="shared" si="83"/>
        <v>7104</v>
      </c>
      <c r="O660" s="16">
        <f t="shared" si="84"/>
        <v>3.1007751937984496E-2</v>
      </c>
      <c r="P660" s="19">
        <v>41699</v>
      </c>
      <c r="Q660" s="5">
        <f t="shared" si="85"/>
        <v>3</v>
      </c>
      <c r="R660" s="3" t="str">
        <f t="shared" si="86"/>
        <v>March</v>
      </c>
      <c r="S660" s="6">
        <f t="shared" si="87"/>
        <v>2014</v>
      </c>
    </row>
    <row r="661" spans="1:19" ht="12.75" x14ac:dyDescent="0.2">
      <c r="A661" s="2" t="s">
        <v>25</v>
      </c>
      <c r="B661" s="2" t="str">
        <f t="shared" si="80"/>
        <v>Enterprise</v>
      </c>
      <c r="C661" s="2" t="s">
        <v>71</v>
      </c>
      <c r="D661" s="2" t="str">
        <f>PROPER(Table1[[#This Row],[Country]])</f>
        <v>Usa</v>
      </c>
      <c r="E661" s="3" t="s">
        <v>32</v>
      </c>
      <c r="F661" s="3" t="s">
        <v>35</v>
      </c>
      <c r="G661" s="13">
        <v>2844</v>
      </c>
      <c r="H661" s="4">
        <v>260</v>
      </c>
      <c r="I661" s="4">
        <v>125</v>
      </c>
      <c r="J661" s="4">
        <f t="shared" si="81"/>
        <v>355500</v>
      </c>
      <c r="K661" s="4">
        <v>49770</v>
      </c>
      <c r="L661" s="4">
        <f t="shared" si="82"/>
        <v>305730</v>
      </c>
      <c r="M661" s="4">
        <v>341280</v>
      </c>
      <c r="N661" s="4">
        <f t="shared" si="83"/>
        <v>-35550</v>
      </c>
      <c r="O661" s="16">
        <f t="shared" si="84"/>
        <v>-0.11627906976744186</v>
      </c>
      <c r="P661" s="19">
        <v>41760</v>
      </c>
      <c r="Q661" s="5">
        <f t="shared" si="85"/>
        <v>5</v>
      </c>
      <c r="R661" s="3" t="str">
        <f t="shared" si="86"/>
        <v>May</v>
      </c>
      <c r="S661" s="6">
        <f t="shared" si="87"/>
        <v>2014</v>
      </c>
    </row>
    <row r="662" spans="1:19" ht="12.75" x14ac:dyDescent="0.2">
      <c r="A662" s="2" t="s">
        <v>24</v>
      </c>
      <c r="B662" s="2" t="str">
        <f t="shared" si="80"/>
        <v>Channel Partners</v>
      </c>
      <c r="C662" s="2" t="s">
        <v>21</v>
      </c>
      <c r="D662" s="2" t="str">
        <f>PROPER(Table1[[#This Row],[Country]])</f>
        <v>France</v>
      </c>
      <c r="E662" s="3" t="s">
        <v>32</v>
      </c>
      <c r="F662" s="3" t="s">
        <v>35</v>
      </c>
      <c r="G662" s="13">
        <v>2475</v>
      </c>
      <c r="H662" s="4">
        <v>260</v>
      </c>
      <c r="I662" s="4">
        <v>12</v>
      </c>
      <c r="J662" s="4">
        <f t="shared" si="81"/>
        <v>29700</v>
      </c>
      <c r="K662" s="4">
        <v>4158</v>
      </c>
      <c r="L662" s="4">
        <f t="shared" si="82"/>
        <v>25542</v>
      </c>
      <c r="M662" s="4">
        <v>7425</v>
      </c>
      <c r="N662" s="4">
        <f t="shared" si="83"/>
        <v>18117</v>
      </c>
      <c r="O662" s="16">
        <f t="shared" si="84"/>
        <v>0.70930232558139539</v>
      </c>
      <c r="P662" s="19">
        <v>41852</v>
      </c>
      <c r="Q662" s="5">
        <f t="shared" si="85"/>
        <v>8</v>
      </c>
      <c r="R662" s="3" t="str">
        <f t="shared" si="86"/>
        <v>August</v>
      </c>
      <c r="S662" s="6">
        <f t="shared" si="87"/>
        <v>2014</v>
      </c>
    </row>
    <row r="663" spans="1:19" ht="12.75" x14ac:dyDescent="0.2">
      <c r="A663" s="2" t="s">
        <v>20</v>
      </c>
      <c r="B663" s="2" t="str">
        <f t="shared" si="80"/>
        <v>Midmarket</v>
      </c>
      <c r="C663" s="2" t="s">
        <v>16</v>
      </c>
      <c r="D663" s="2" t="str">
        <f>PROPER(Table1[[#This Row],[Country]])</f>
        <v>Canada</v>
      </c>
      <c r="E663" s="3" t="s">
        <v>32</v>
      </c>
      <c r="F663" s="3" t="s">
        <v>35</v>
      </c>
      <c r="G663" s="13">
        <v>1743</v>
      </c>
      <c r="H663" s="4">
        <v>260</v>
      </c>
      <c r="I663" s="4">
        <v>15</v>
      </c>
      <c r="J663" s="4">
        <f t="shared" si="81"/>
        <v>26145</v>
      </c>
      <c r="K663" s="4">
        <v>3660.3</v>
      </c>
      <c r="L663" s="4">
        <f t="shared" si="82"/>
        <v>22484.7</v>
      </c>
      <c r="M663" s="4">
        <v>17430</v>
      </c>
      <c r="N663" s="4">
        <f t="shared" si="83"/>
        <v>5054.7000000000007</v>
      </c>
      <c r="O663" s="16">
        <f t="shared" si="84"/>
        <v>0.22480620155038764</v>
      </c>
      <c r="P663" s="19">
        <v>41548</v>
      </c>
      <c r="Q663" s="5">
        <f t="shared" si="85"/>
        <v>10</v>
      </c>
      <c r="R663" s="3" t="str">
        <f t="shared" si="86"/>
        <v>October</v>
      </c>
      <c r="S663" s="6">
        <f t="shared" si="87"/>
        <v>2013</v>
      </c>
    </row>
    <row r="664" spans="1:19" ht="12.75" x14ac:dyDescent="0.2">
      <c r="A664" s="2" t="s">
        <v>24</v>
      </c>
      <c r="B664" s="2" t="str">
        <f t="shared" si="80"/>
        <v>Channel Partners</v>
      </c>
      <c r="C664" s="2" t="s">
        <v>71</v>
      </c>
      <c r="D664" s="2" t="str">
        <f>PROPER(Table1[[#This Row],[Country]])</f>
        <v>Usa</v>
      </c>
      <c r="E664" s="3" t="s">
        <v>32</v>
      </c>
      <c r="F664" s="3" t="s">
        <v>35</v>
      </c>
      <c r="G664" s="13">
        <v>2914</v>
      </c>
      <c r="H664" s="4">
        <v>260</v>
      </c>
      <c r="I664" s="4">
        <v>12</v>
      </c>
      <c r="J664" s="4">
        <f t="shared" si="81"/>
        <v>34968</v>
      </c>
      <c r="K664" s="4">
        <v>4895.5200000000004</v>
      </c>
      <c r="L664" s="4">
        <f t="shared" si="82"/>
        <v>30072.48</v>
      </c>
      <c r="M664" s="4">
        <v>8742</v>
      </c>
      <c r="N664" s="4">
        <f t="shared" si="83"/>
        <v>21330.48</v>
      </c>
      <c r="O664" s="16">
        <f t="shared" si="84"/>
        <v>0.70930232558139539</v>
      </c>
      <c r="P664" s="19">
        <v>41913</v>
      </c>
      <c r="Q664" s="5">
        <f t="shared" si="85"/>
        <v>10</v>
      </c>
      <c r="R664" s="3" t="str">
        <f t="shared" si="86"/>
        <v>October</v>
      </c>
      <c r="S664" s="6">
        <f t="shared" si="87"/>
        <v>2014</v>
      </c>
    </row>
    <row r="665" spans="1:19" ht="12.75" x14ac:dyDescent="0.2">
      <c r="A665" s="2" t="s">
        <v>15</v>
      </c>
      <c r="B665" s="2" t="str">
        <f t="shared" si="80"/>
        <v>Government</v>
      </c>
      <c r="C665" s="2" t="s">
        <v>21</v>
      </c>
      <c r="D665" s="2" t="str">
        <f>PROPER(Table1[[#This Row],[Country]])</f>
        <v>France</v>
      </c>
      <c r="E665" s="3" t="s">
        <v>32</v>
      </c>
      <c r="F665" s="3" t="s">
        <v>35</v>
      </c>
      <c r="G665" s="13">
        <v>1731</v>
      </c>
      <c r="H665" s="4">
        <v>260</v>
      </c>
      <c r="I665" s="4">
        <v>7</v>
      </c>
      <c r="J665" s="4">
        <f t="shared" si="81"/>
        <v>12117</v>
      </c>
      <c r="K665" s="4">
        <v>1696.38</v>
      </c>
      <c r="L665" s="4">
        <f t="shared" si="82"/>
        <v>10420.619999999999</v>
      </c>
      <c r="M665" s="4">
        <v>8655</v>
      </c>
      <c r="N665" s="4">
        <f t="shared" si="83"/>
        <v>1765.619999999999</v>
      </c>
      <c r="O665" s="16">
        <f t="shared" si="84"/>
        <v>0.16943521594684377</v>
      </c>
      <c r="P665" s="19">
        <v>41913</v>
      </c>
      <c r="Q665" s="5">
        <f t="shared" si="85"/>
        <v>10</v>
      </c>
      <c r="R665" s="3" t="str">
        <f t="shared" si="86"/>
        <v>October</v>
      </c>
      <c r="S665" s="6">
        <f t="shared" si="87"/>
        <v>2014</v>
      </c>
    </row>
    <row r="666" spans="1:19" ht="12.75" x14ac:dyDescent="0.2">
      <c r="A666" s="2" t="s">
        <v>15</v>
      </c>
      <c r="B666" s="2" t="str">
        <f t="shared" si="80"/>
        <v>Government</v>
      </c>
      <c r="C666" s="2" t="s">
        <v>22</v>
      </c>
      <c r="D666" s="2" t="str">
        <f>PROPER(Table1[[#This Row],[Country]])</f>
        <v>Mexico</v>
      </c>
      <c r="E666" s="3" t="s">
        <v>32</v>
      </c>
      <c r="F666" s="3" t="s">
        <v>35</v>
      </c>
      <c r="G666" s="13">
        <v>1727</v>
      </c>
      <c r="H666" s="4">
        <v>260</v>
      </c>
      <c r="I666" s="4">
        <v>7</v>
      </c>
      <c r="J666" s="4">
        <f t="shared" si="81"/>
        <v>12089</v>
      </c>
      <c r="K666" s="4">
        <v>1692.46</v>
      </c>
      <c r="L666" s="4">
        <f t="shared" si="82"/>
        <v>10396.540000000001</v>
      </c>
      <c r="M666" s="4">
        <v>8635</v>
      </c>
      <c r="N666" s="4">
        <f t="shared" si="83"/>
        <v>1761.5400000000009</v>
      </c>
      <c r="O666" s="16">
        <f t="shared" si="84"/>
        <v>0.16943521594684394</v>
      </c>
      <c r="P666" s="19">
        <v>41548</v>
      </c>
      <c r="Q666" s="5">
        <f t="shared" si="85"/>
        <v>10</v>
      </c>
      <c r="R666" s="3" t="str">
        <f t="shared" si="86"/>
        <v>October</v>
      </c>
      <c r="S666" s="6">
        <f t="shared" si="87"/>
        <v>2013</v>
      </c>
    </row>
    <row r="667" spans="1:19" ht="12.75" x14ac:dyDescent="0.2">
      <c r="A667" s="2" t="s">
        <v>20</v>
      </c>
      <c r="B667" s="2" t="str">
        <f t="shared" si="80"/>
        <v>Midmarket</v>
      </c>
      <c r="C667" s="2" t="s">
        <v>22</v>
      </c>
      <c r="D667" s="2" t="str">
        <f>PROPER(Table1[[#This Row],[Country]])</f>
        <v>Mexico</v>
      </c>
      <c r="E667" s="3" t="s">
        <v>32</v>
      </c>
      <c r="F667" s="3" t="s">
        <v>35</v>
      </c>
      <c r="G667" s="13">
        <v>1870</v>
      </c>
      <c r="H667" s="4">
        <v>260</v>
      </c>
      <c r="I667" s="4">
        <v>15</v>
      </c>
      <c r="J667" s="4">
        <f t="shared" si="81"/>
        <v>28050</v>
      </c>
      <c r="K667" s="4">
        <v>3927</v>
      </c>
      <c r="L667" s="4">
        <f t="shared" si="82"/>
        <v>24123</v>
      </c>
      <c r="M667" s="4">
        <v>18700</v>
      </c>
      <c r="N667" s="4">
        <f t="shared" si="83"/>
        <v>5423</v>
      </c>
      <c r="O667" s="16">
        <f t="shared" si="84"/>
        <v>0.22480620155038761</v>
      </c>
      <c r="P667" s="19">
        <v>41579</v>
      </c>
      <c r="Q667" s="5">
        <f t="shared" si="85"/>
        <v>11</v>
      </c>
      <c r="R667" s="3" t="str">
        <f t="shared" si="86"/>
        <v>November</v>
      </c>
      <c r="S667" s="6">
        <f t="shared" si="87"/>
        <v>2013</v>
      </c>
    </row>
    <row r="668" spans="1:19" ht="12.75" x14ac:dyDescent="0.2">
      <c r="A668" s="2" t="s">
        <v>25</v>
      </c>
      <c r="B668" s="2" t="str">
        <f t="shared" si="80"/>
        <v>Enterprise</v>
      </c>
      <c r="C668" s="2" t="s">
        <v>21</v>
      </c>
      <c r="D668" s="2" t="str">
        <f>PROPER(Table1[[#This Row],[Country]])</f>
        <v>France</v>
      </c>
      <c r="E668" s="3" t="s">
        <v>17</v>
      </c>
      <c r="F668" s="3" t="s">
        <v>35</v>
      </c>
      <c r="G668" s="13">
        <v>1174</v>
      </c>
      <c r="H668" s="4">
        <v>3</v>
      </c>
      <c r="I668" s="4">
        <v>125</v>
      </c>
      <c r="J668" s="4">
        <f t="shared" si="81"/>
        <v>146750</v>
      </c>
      <c r="K668" s="4">
        <v>22012.5</v>
      </c>
      <c r="L668" s="4">
        <f t="shared" si="82"/>
        <v>124737.5</v>
      </c>
      <c r="M668" s="4">
        <v>140880</v>
      </c>
      <c r="N668" s="4">
        <f t="shared" si="83"/>
        <v>-16142.5</v>
      </c>
      <c r="O668" s="16">
        <f t="shared" si="84"/>
        <v>-0.12941176470588237</v>
      </c>
      <c r="P668" s="19">
        <v>41852</v>
      </c>
      <c r="Q668" s="5">
        <f t="shared" si="85"/>
        <v>8</v>
      </c>
      <c r="R668" s="3" t="str">
        <f t="shared" si="86"/>
        <v>August</v>
      </c>
      <c r="S668" s="6">
        <f t="shared" si="87"/>
        <v>2014</v>
      </c>
    </row>
    <row r="669" spans="1:19" ht="12.75" x14ac:dyDescent="0.2">
      <c r="A669" s="2" t="s">
        <v>25</v>
      </c>
      <c r="B669" s="2" t="str">
        <f t="shared" si="80"/>
        <v>Enterprise</v>
      </c>
      <c r="C669" s="2" t="s">
        <v>19</v>
      </c>
      <c r="D669" s="2" t="str">
        <f>PROPER(Table1[[#This Row],[Country]])</f>
        <v>Germany</v>
      </c>
      <c r="E669" s="3" t="s">
        <v>17</v>
      </c>
      <c r="F669" s="3" t="s">
        <v>35</v>
      </c>
      <c r="G669" s="13">
        <v>2767</v>
      </c>
      <c r="H669" s="4">
        <v>3</v>
      </c>
      <c r="I669" s="4">
        <v>125</v>
      </c>
      <c r="J669" s="4">
        <f t="shared" si="81"/>
        <v>345875</v>
      </c>
      <c r="K669" s="4">
        <v>51881.25</v>
      </c>
      <c r="L669" s="4">
        <f t="shared" si="82"/>
        <v>293993.75</v>
      </c>
      <c r="M669" s="4">
        <v>332040</v>
      </c>
      <c r="N669" s="4">
        <f t="shared" si="83"/>
        <v>-38046.25</v>
      </c>
      <c r="O669" s="16">
        <f t="shared" si="84"/>
        <v>-0.12941176470588237</v>
      </c>
      <c r="P669" s="19">
        <v>41852</v>
      </c>
      <c r="Q669" s="5">
        <f t="shared" si="85"/>
        <v>8</v>
      </c>
      <c r="R669" s="3" t="str">
        <f t="shared" si="86"/>
        <v>August</v>
      </c>
      <c r="S669" s="6">
        <f t="shared" si="87"/>
        <v>2014</v>
      </c>
    </row>
    <row r="670" spans="1:19" ht="12.75" x14ac:dyDescent="0.2">
      <c r="A670" s="2" t="s">
        <v>25</v>
      </c>
      <c r="B670" s="2" t="str">
        <f t="shared" si="80"/>
        <v>Enterprise</v>
      </c>
      <c r="C670" s="2" t="s">
        <v>19</v>
      </c>
      <c r="D670" s="2" t="str">
        <f>PROPER(Table1[[#This Row],[Country]])</f>
        <v>Germany</v>
      </c>
      <c r="E670" s="3" t="s">
        <v>17</v>
      </c>
      <c r="F670" s="3" t="s">
        <v>35</v>
      </c>
      <c r="G670" s="13">
        <v>1085</v>
      </c>
      <c r="H670" s="4">
        <v>3</v>
      </c>
      <c r="I670" s="4">
        <v>125</v>
      </c>
      <c r="J670" s="4">
        <f t="shared" si="81"/>
        <v>135625</v>
      </c>
      <c r="K670" s="4">
        <v>20343.75</v>
      </c>
      <c r="L670" s="4">
        <f t="shared" si="82"/>
        <v>115281.25</v>
      </c>
      <c r="M670" s="4">
        <v>130200</v>
      </c>
      <c r="N670" s="4">
        <f t="shared" si="83"/>
        <v>-14918.75</v>
      </c>
      <c r="O670" s="16">
        <f t="shared" si="84"/>
        <v>-0.12941176470588237</v>
      </c>
      <c r="P670" s="19">
        <v>41913</v>
      </c>
      <c r="Q670" s="5">
        <f t="shared" si="85"/>
        <v>10</v>
      </c>
      <c r="R670" s="3" t="str">
        <f t="shared" si="86"/>
        <v>October</v>
      </c>
      <c r="S670" s="6">
        <f t="shared" si="87"/>
        <v>2014</v>
      </c>
    </row>
    <row r="671" spans="1:19" ht="12.75" x14ac:dyDescent="0.2">
      <c r="A671" s="2" t="s">
        <v>29</v>
      </c>
      <c r="B671" s="2" t="str">
        <f t="shared" si="80"/>
        <v>Small Business</v>
      </c>
      <c r="C671" s="2" t="s">
        <v>22</v>
      </c>
      <c r="D671" s="2" t="str">
        <f>PROPER(Table1[[#This Row],[Country]])</f>
        <v>Mexico</v>
      </c>
      <c r="E671" s="3" t="s">
        <v>23</v>
      </c>
      <c r="F671" s="3" t="s">
        <v>35</v>
      </c>
      <c r="G671" s="13">
        <v>546</v>
      </c>
      <c r="H671" s="4">
        <v>5</v>
      </c>
      <c r="I671" s="4">
        <v>300</v>
      </c>
      <c r="J671" s="4">
        <f t="shared" si="81"/>
        <v>163800</v>
      </c>
      <c r="K671" s="4">
        <v>24570</v>
      </c>
      <c r="L671" s="4">
        <f t="shared" si="82"/>
        <v>139230</v>
      </c>
      <c r="M671" s="4">
        <v>136500</v>
      </c>
      <c r="N671" s="4">
        <f t="shared" si="83"/>
        <v>2730</v>
      </c>
      <c r="O671" s="16">
        <f t="shared" si="84"/>
        <v>1.9607843137254902E-2</v>
      </c>
      <c r="P671" s="19">
        <v>41913</v>
      </c>
      <c r="Q671" s="5">
        <f t="shared" si="85"/>
        <v>10</v>
      </c>
      <c r="R671" s="3" t="str">
        <f t="shared" si="86"/>
        <v>October</v>
      </c>
      <c r="S671" s="6">
        <f t="shared" si="87"/>
        <v>2014</v>
      </c>
    </row>
    <row r="672" spans="1:19" ht="12.75" x14ac:dyDescent="0.2">
      <c r="A672" s="2" t="s">
        <v>15</v>
      </c>
      <c r="B672" s="2" t="str">
        <f t="shared" si="80"/>
        <v>Government</v>
      </c>
      <c r="C672" s="2" t="s">
        <v>19</v>
      </c>
      <c r="D672" s="2" t="str">
        <f>PROPER(Table1[[#This Row],[Country]])</f>
        <v>Germany</v>
      </c>
      <c r="E672" s="3" t="s">
        <v>28</v>
      </c>
      <c r="F672" s="3" t="s">
        <v>35</v>
      </c>
      <c r="G672" s="13">
        <v>1158</v>
      </c>
      <c r="H672" s="4">
        <v>10</v>
      </c>
      <c r="I672" s="4">
        <v>20</v>
      </c>
      <c r="J672" s="4">
        <f t="shared" si="81"/>
        <v>23160</v>
      </c>
      <c r="K672" s="4">
        <v>3474</v>
      </c>
      <c r="L672" s="4">
        <f t="shared" si="82"/>
        <v>19686</v>
      </c>
      <c r="M672" s="4">
        <v>11580</v>
      </c>
      <c r="N672" s="4">
        <f t="shared" si="83"/>
        <v>8106</v>
      </c>
      <c r="O672" s="16">
        <f t="shared" si="84"/>
        <v>0.41176470588235292</v>
      </c>
      <c r="P672" s="19">
        <v>41699</v>
      </c>
      <c r="Q672" s="5">
        <f t="shared" si="85"/>
        <v>3</v>
      </c>
      <c r="R672" s="3" t="str">
        <f t="shared" si="86"/>
        <v>March</v>
      </c>
      <c r="S672" s="6">
        <f t="shared" si="87"/>
        <v>2014</v>
      </c>
    </row>
    <row r="673" spans="1:19" ht="12.75" x14ac:dyDescent="0.2">
      <c r="A673" s="2" t="s">
        <v>20</v>
      </c>
      <c r="B673" s="2" t="str">
        <f t="shared" si="80"/>
        <v>Midmarket</v>
      </c>
      <c r="C673" s="2" t="s">
        <v>16</v>
      </c>
      <c r="D673" s="2" t="str">
        <f>PROPER(Table1[[#This Row],[Country]])</f>
        <v>Canada</v>
      </c>
      <c r="E673" s="3" t="s">
        <v>28</v>
      </c>
      <c r="F673" s="3" t="s">
        <v>35</v>
      </c>
      <c r="G673" s="13">
        <v>1614</v>
      </c>
      <c r="H673" s="4">
        <v>10</v>
      </c>
      <c r="I673" s="4">
        <v>15</v>
      </c>
      <c r="J673" s="4">
        <f t="shared" si="81"/>
        <v>24210</v>
      </c>
      <c r="K673" s="4">
        <v>3631.5</v>
      </c>
      <c r="L673" s="4">
        <f t="shared" si="82"/>
        <v>20578.5</v>
      </c>
      <c r="M673" s="4">
        <v>16140</v>
      </c>
      <c r="N673" s="4">
        <f t="shared" si="83"/>
        <v>4438.5</v>
      </c>
      <c r="O673" s="16">
        <f t="shared" si="84"/>
        <v>0.21568627450980393</v>
      </c>
      <c r="P673" s="19">
        <v>41730</v>
      </c>
      <c r="Q673" s="5">
        <f t="shared" si="85"/>
        <v>4</v>
      </c>
      <c r="R673" s="3" t="str">
        <f t="shared" si="86"/>
        <v>April</v>
      </c>
      <c r="S673" s="6">
        <f t="shared" si="87"/>
        <v>2014</v>
      </c>
    </row>
    <row r="674" spans="1:19" ht="12.75" x14ac:dyDescent="0.2">
      <c r="A674" s="2" t="s">
        <v>15</v>
      </c>
      <c r="B674" s="2" t="str">
        <f t="shared" si="80"/>
        <v>Government</v>
      </c>
      <c r="C674" s="2" t="s">
        <v>22</v>
      </c>
      <c r="D674" s="2" t="str">
        <f>PROPER(Table1[[#This Row],[Country]])</f>
        <v>Mexico</v>
      </c>
      <c r="E674" s="3" t="s">
        <v>28</v>
      </c>
      <c r="F674" s="3" t="s">
        <v>35</v>
      </c>
      <c r="G674" s="13">
        <v>2535</v>
      </c>
      <c r="H674" s="4">
        <v>10</v>
      </c>
      <c r="I674" s="4">
        <v>7</v>
      </c>
      <c r="J674" s="4">
        <f t="shared" si="81"/>
        <v>17745</v>
      </c>
      <c r="K674" s="4">
        <v>2661.75</v>
      </c>
      <c r="L674" s="4">
        <f t="shared" si="82"/>
        <v>15083.25</v>
      </c>
      <c r="M674" s="4">
        <v>12675</v>
      </c>
      <c r="N674" s="4">
        <f t="shared" si="83"/>
        <v>2408.25</v>
      </c>
      <c r="O674" s="16">
        <f t="shared" si="84"/>
        <v>0.15966386554621848</v>
      </c>
      <c r="P674" s="19">
        <v>41730</v>
      </c>
      <c r="Q674" s="5">
        <f t="shared" si="85"/>
        <v>4</v>
      </c>
      <c r="R674" s="3" t="str">
        <f t="shared" si="86"/>
        <v>April</v>
      </c>
      <c r="S674" s="6">
        <f t="shared" si="87"/>
        <v>2014</v>
      </c>
    </row>
    <row r="675" spans="1:19" ht="12.75" x14ac:dyDescent="0.2">
      <c r="A675" s="2" t="s">
        <v>15</v>
      </c>
      <c r="B675" s="2" t="str">
        <f t="shared" si="80"/>
        <v>Government</v>
      </c>
      <c r="C675" s="2" t="s">
        <v>22</v>
      </c>
      <c r="D675" s="2" t="str">
        <f>PROPER(Table1[[#This Row],[Country]])</f>
        <v>Mexico</v>
      </c>
      <c r="E675" s="3" t="s">
        <v>28</v>
      </c>
      <c r="F675" s="3" t="s">
        <v>35</v>
      </c>
      <c r="G675" s="13">
        <v>2851</v>
      </c>
      <c r="H675" s="4">
        <v>10</v>
      </c>
      <c r="I675" s="4">
        <v>350</v>
      </c>
      <c r="J675" s="4">
        <f t="shared" si="81"/>
        <v>997850</v>
      </c>
      <c r="K675" s="4">
        <v>149677.5</v>
      </c>
      <c r="L675" s="4">
        <f t="shared" si="82"/>
        <v>848172.5</v>
      </c>
      <c r="M675" s="4">
        <v>741260</v>
      </c>
      <c r="N675" s="4">
        <f t="shared" si="83"/>
        <v>106912.5</v>
      </c>
      <c r="O675" s="16">
        <f t="shared" si="84"/>
        <v>0.12605042016806722</v>
      </c>
      <c r="P675" s="19">
        <v>41760</v>
      </c>
      <c r="Q675" s="5">
        <f t="shared" si="85"/>
        <v>5</v>
      </c>
      <c r="R675" s="3" t="str">
        <f t="shared" si="86"/>
        <v>May</v>
      </c>
      <c r="S675" s="6">
        <f t="shared" si="87"/>
        <v>2014</v>
      </c>
    </row>
    <row r="676" spans="1:19" ht="12.75" x14ac:dyDescent="0.2">
      <c r="A676" s="2" t="s">
        <v>20</v>
      </c>
      <c r="B676" s="2" t="str">
        <f t="shared" si="80"/>
        <v>Midmarket</v>
      </c>
      <c r="C676" s="2" t="s">
        <v>16</v>
      </c>
      <c r="D676" s="2" t="str">
        <f>PROPER(Table1[[#This Row],[Country]])</f>
        <v>Canada</v>
      </c>
      <c r="E676" s="3" t="s">
        <v>28</v>
      </c>
      <c r="F676" s="3" t="s">
        <v>35</v>
      </c>
      <c r="G676" s="13">
        <v>2559</v>
      </c>
      <c r="H676" s="4">
        <v>10</v>
      </c>
      <c r="I676" s="4">
        <v>15</v>
      </c>
      <c r="J676" s="4">
        <f t="shared" si="81"/>
        <v>38385</v>
      </c>
      <c r="K676" s="4">
        <v>5757.75</v>
      </c>
      <c r="L676" s="4">
        <f t="shared" si="82"/>
        <v>32627.25</v>
      </c>
      <c r="M676" s="4">
        <v>25590</v>
      </c>
      <c r="N676" s="4">
        <f t="shared" si="83"/>
        <v>7037.25</v>
      </c>
      <c r="O676" s="16">
        <f t="shared" si="84"/>
        <v>0.21568627450980393</v>
      </c>
      <c r="P676" s="19">
        <v>41852</v>
      </c>
      <c r="Q676" s="5">
        <f t="shared" si="85"/>
        <v>8</v>
      </c>
      <c r="R676" s="3" t="str">
        <f t="shared" si="86"/>
        <v>August</v>
      </c>
      <c r="S676" s="6">
        <f t="shared" si="87"/>
        <v>2014</v>
      </c>
    </row>
    <row r="677" spans="1:19" ht="12.75" x14ac:dyDescent="0.2">
      <c r="A677" s="2" t="s">
        <v>15</v>
      </c>
      <c r="B677" s="2" t="str">
        <f t="shared" si="80"/>
        <v>Government</v>
      </c>
      <c r="C677" s="2" t="s">
        <v>71</v>
      </c>
      <c r="D677" s="2" t="str">
        <f>PROPER(Table1[[#This Row],[Country]])</f>
        <v>Usa</v>
      </c>
      <c r="E677" s="3" t="s">
        <v>28</v>
      </c>
      <c r="F677" s="3" t="s">
        <v>35</v>
      </c>
      <c r="G677" s="13">
        <v>267</v>
      </c>
      <c r="H677" s="4">
        <v>10</v>
      </c>
      <c r="I677" s="4">
        <v>20</v>
      </c>
      <c r="J677" s="4">
        <f t="shared" si="81"/>
        <v>5340</v>
      </c>
      <c r="K677" s="4">
        <v>801</v>
      </c>
      <c r="L677" s="4">
        <f t="shared" si="82"/>
        <v>4539</v>
      </c>
      <c r="M677" s="4">
        <v>2670</v>
      </c>
      <c r="N677" s="4">
        <f t="shared" si="83"/>
        <v>1869</v>
      </c>
      <c r="O677" s="16">
        <f t="shared" si="84"/>
        <v>0.41176470588235292</v>
      </c>
      <c r="P677" s="19">
        <v>41548</v>
      </c>
      <c r="Q677" s="5">
        <f t="shared" si="85"/>
        <v>10</v>
      </c>
      <c r="R677" s="3" t="str">
        <f t="shared" si="86"/>
        <v>October</v>
      </c>
      <c r="S677" s="6">
        <f t="shared" si="87"/>
        <v>2013</v>
      </c>
    </row>
    <row r="678" spans="1:19" ht="12.75" x14ac:dyDescent="0.2">
      <c r="A678" s="2" t="s">
        <v>25</v>
      </c>
      <c r="B678" s="2" t="str">
        <f t="shared" si="80"/>
        <v>Enterprise</v>
      </c>
      <c r="C678" s="2" t="s">
        <v>19</v>
      </c>
      <c r="D678" s="2" t="str">
        <f>PROPER(Table1[[#This Row],[Country]])</f>
        <v>Germany</v>
      </c>
      <c r="E678" s="3" t="s">
        <v>28</v>
      </c>
      <c r="F678" s="3" t="s">
        <v>35</v>
      </c>
      <c r="G678" s="13">
        <v>1085</v>
      </c>
      <c r="H678" s="4">
        <v>10</v>
      </c>
      <c r="I678" s="4">
        <v>125</v>
      </c>
      <c r="J678" s="4">
        <f t="shared" si="81"/>
        <v>135625</v>
      </c>
      <c r="K678" s="4">
        <v>20343.75</v>
      </c>
      <c r="L678" s="4">
        <f t="shared" si="82"/>
        <v>115281.25</v>
      </c>
      <c r="M678" s="4">
        <v>130200</v>
      </c>
      <c r="N678" s="4">
        <f t="shared" si="83"/>
        <v>-14918.75</v>
      </c>
      <c r="O678" s="16">
        <f t="shared" si="84"/>
        <v>-0.12941176470588237</v>
      </c>
      <c r="P678" s="19">
        <v>41913</v>
      </c>
      <c r="Q678" s="5">
        <f t="shared" si="85"/>
        <v>10</v>
      </c>
      <c r="R678" s="3" t="str">
        <f t="shared" si="86"/>
        <v>October</v>
      </c>
      <c r="S678" s="6">
        <f t="shared" si="87"/>
        <v>2014</v>
      </c>
    </row>
    <row r="679" spans="1:19" ht="12.75" x14ac:dyDescent="0.2">
      <c r="A679" s="2" t="s">
        <v>20</v>
      </c>
      <c r="B679" s="2" t="str">
        <f t="shared" si="80"/>
        <v>Midmarket</v>
      </c>
      <c r="C679" s="2" t="s">
        <v>19</v>
      </c>
      <c r="D679" s="2" t="str">
        <f>PROPER(Table1[[#This Row],[Country]])</f>
        <v>Germany</v>
      </c>
      <c r="E679" s="3" t="s">
        <v>28</v>
      </c>
      <c r="F679" s="3" t="s">
        <v>35</v>
      </c>
      <c r="G679" s="13">
        <v>1175</v>
      </c>
      <c r="H679" s="4">
        <v>10</v>
      </c>
      <c r="I679" s="4">
        <v>15</v>
      </c>
      <c r="J679" s="4">
        <f t="shared" si="81"/>
        <v>17625</v>
      </c>
      <c r="K679" s="4">
        <v>2643.75</v>
      </c>
      <c r="L679" s="4">
        <f t="shared" si="82"/>
        <v>14981.25</v>
      </c>
      <c r="M679" s="4">
        <v>11750</v>
      </c>
      <c r="N679" s="4">
        <f t="shared" si="83"/>
        <v>3231.25</v>
      </c>
      <c r="O679" s="16">
        <f t="shared" si="84"/>
        <v>0.21568627450980393</v>
      </c>
      <c r="P679" s="19">
        <v>41913</v>
      </c>
      <c r="Q679" s="5">
        <f t="shared" si="85"/>
        <v>10</v>
      </c>
      <c r="R679" s="3" t="str">
        <f t="shared" si="86"/>
        <v>October</v>
      </c>
      <c r="S679" s="6">
        <f t="shared" si="87"/>
        <v>2014</v>
      </c>
    </row>
    <row r="680" spans="1:19" ht="12.75" x14ac:dyDescent="0.2">
      <c r="A680" s="2" t="s">
        <v>15</v>
      </c>
      <c r="B680" s="2" t="str">
        <f t="shared" si="80"/>
        <v>Government</v>
      </c>
      <c r="C680" s="2" t="s">
        <v>71</v>
      </c>
      <c r="D680" s="2" t="str">
        <f>PROPER(Table1[[#This Row],[Country]])</f>
        <v>Usa</v>
      </c>
      <c r="E680" s="3" t="s">
        <v>28</v>
      </c>
      <c r="F680" s="3" t="s">
        <v>35</v>
      </c>
      <c r="G680" s="13">
        <v>2007</v>
      </c>
      <c r="H680" s="4">
        <v>10</v>
      </c>
      <c r="I680" s="4">
        <v>350</v>
      </c>
      <c r="J680" s="4">
        <f t="shared" si="81"/>
        <v>702450</v>
      </c>
      <c r="K680" s="4">
        <v>105367.5</v>
      </c>
      <c r="L680" s="4">
        <f t="shared" si="82"/>
        <v>597082.5</v>
      </c>
      <c r="M680" s="4">
        <v>521820</v>
      </c>
      <c r="N680" s="4">
        <f t="shared" si="83"/>
        <v>75262.5</v>
      </c>
      <c r="O680" s="16">
        <f t="shared" si="84"/>
        <v>0.12605042016806722</v>
      </c>
      <c r="P680" s="19">
        <v>41579</v>
      </c>
      <c r="Q680" s="5">
        <f t="shared" si="85"/>
        <v>11</v>
      </c>
      <c r="R680" s="3" t="str">
        <f t="shared" si="86"/>
        <v>November</v>
      </c>
      <c r="S680" s="6">
        <f t="shared" si="87"/>
        <v>2013</v>
      </c>
    </row>
    <row r="681" spans="1:19" ht="12.75" x14ac:dyDescent="0.2">
      <c r="A681" s="2" t="s">
        <v>15</v>
      </c>
      <c r="B681" s="2" t="str">
        <f t="shared" si="80"/>
        <v>Government</v>
      </c>
      <c r="C681" s="2" t="s">
        <v>22</v>
      </c>
      <c r="D681" s="2" t="str">
        <f>PROPER(Table1[[#This Row],[Country]])</f>
        <v>Mexico</v>
      </c>
      <c r="E681" s="3" t="s">
        <v>28</v>
      </c>
      <c r="F681" s="3" t="s">
        <v>35</v>
      </c>
      <c r="G681" s="13">
        <v>2151</v>
      </c>
      <c r="H681" s="4">
        <v>10</v>
      </c>
      <c r="I681" s="4">
        <v>350</v>
      </c>
      <c r="J681" s="4">
        <f t="shared" si="81"/>
        <v>752850</v>
      </c>
      <c r="K681" s="4">
        <v>112927.5</v>
      </c>
      <c r="L681" s="4">
        <f t="shared" si="82"/>
        <v>639922.5</v>
      </c>
      <c r="M681" s="4">
        <v>559260</v>
      </c>
      <c r="N681" s="4">
        <f t="shared" si="83"/>
        <v>80662.5</v>
      </c>
      <c r="O681" s="16">
        <f t="shared" si="84"/>
        <v>0.12605042016806722</v>
      </c>
      <c r="P681" s="19">
        <v>41579</v>
      </c>
      <c r="Q681" s="5">
        <f t="shared" si="85"/>
        <v>11</v>
      </c>
      <c r="R681" s="3" t="str">
        <f t="shared" si="86"/>
        <v>November</v>
      </c>
      <c r="S681" s="6">
        <f t="shared" si="87"/>
        <v>2013</v>
      </c>
    </row>
    <row r="682" spans="1:19" ht="12.75" x14ac:dyDescent="0.2">
      <c r="A682" s="2" t="s">
        <v>24</v>
      </c>
      <c r="B682" s="2" t="str">
        <f t="shared" si="80"/>
        <v>Channel Partners</v>
      </c>
      <c r="C682" s="2" t="s">
        <v>71</v>
      </c>
      <c r="D682" s="2" t="str">
        <f>PROPER(Table1[[#This Row],[Country]])</f>
        <v>Usa</v>
      </c>
      <c r="E682" s="3" t="s">
        <v>28</v>
      </c>
      <c r="F682" s="3" t="s">
        <v>35</v>
      </c>
      <c r="G682" s="13">
        <v>914</v>
      </c>
      <c r="H682" s="4">
        <v>10</v>
      </c>
      <c r="I682" s="4">
        <v>12</v>
      </c>
      <c r="J682" s="4">
        <f t="shared" si="81"/>
        <v>10968</v>
      </c>
      <c r="K682" s="4">
        <v>1645.2</v>
      </c>
      <c r="L682" s="4">
        <f t="shared" si="82"/>
        <v>9322.7999999999993</v>
      </c>
      <c r="M682" s="4">
        <v>2742</v>
      </c>
      <c r="N682" s="4">
        <f t="shared" si="83"/>
        <v>6580.7999999999993</v>
      </c>
      <c r="O682" s="16">
        <f t="shared" si="84"/>
        <v>0.70588235294117641</v>
      </c>
      <c r="P682" s="19">
        <v>41974</v>
      </c>
      <c r="Q682" s="5">
        <f t="shared" si="85"/>
        <v>12</v>
      </c>
      <c r="R682" s="3" t="str">
        <f t="shared" si="86"/>
        <v>December</v>
      </c>
      <c r="S682" s="6">
        <f t="shared" si="87"/>
        <v>2014</v>
      </c>
    </row>
    <row r="683" spans="1:19" ht="12.75" x14ac:dyDescent="0.2">
      <c r="A683" s="2" t="s">
        <v>15</v>
      </c>
      <c r="B683" s="2" t="str">
        <f t="shared" si="80"/>
        <v>Government</v>
      </c>
      <c r="C683" s="2" t="s">
        <v>21</v>
      </c>
      <c r="D683" s="2" t="str">
        <f>PROPER(Table1[[#This Row],[Country]])</f>
        <v>France</v>
      </c>
      <c r="E683" s="3" t="s">
        <v>28</v>
      </c>
      <c r="F683" s="3" t="s">
        <v>35</v>
      </c>
      <c r="G683" s="13">
        <v>293</v>
      </c>
      <c r="H683" s="4">
        <v>10</v>
      </c>
      <c r="I683" s="4">
        <v>20</v>
      </c>
      <c r="J683" s="4">
        <f t="shared" si="81"/>
        <v>5860</v>
      </c>
      <c r="K683" s="4">
        <v>879</v>
      </c>
      <c r="L683" s="4">
        <f t="shared" si="82"/>
        <v>4981</v>
      </c>
      <c r="M683" s="4">
        <v>2930</v>
      </c>
      <c r="N683" s="4">
        <f t="shared" si="83"/>
        <v>2051</v>
      </c>
      <c r="O683" s="16">
        <f t="shared" si="84"/>
        <v>0.41176470588235292</v>
      </c>
      <c r="P683" s="19">
        <v>41974</v>
      </c>
      <c r="Q683" s="5">
        <f t="shared" si="85"/>
        <v>12</v>
      </c>
      <c r="R683" s="3" t="str">
        <f t="shared" si="86"/>
        <v>December</v>
      </c>
      <c r="S683" s="6">
        <f t="shared" si="87"/>
        <v>2014</v>
      </c>
    </row>
    <row r="684" spans="1:19" ht="12.75" x14ac:dyDescent="0.2">
      <c r="A684" s="2" t="s">
        <v>24</v>
      </c>
      <c r="B684" s="2" t="str">
        <f t="shared" si="80"/>
        <v>Channel Partners</v>
      </c>
      <c r="C684" s="2" t="s">
        <v>22</v>
      </c>
      <c r="D684" s="2" t="str">
        <f>PROPER(Table1[[#This Row],[Country]])</f>
        <v>Mexico</v>
      </c>
      <c r="E684" s="3" t="s">
        <v>30</v>
      </c>
      <c r="F684" s="3" t="s">
        <v>35</v>
      </c>
      <c r="G684" s="13">
        <v>500</v>
      </c>
      <c r="H684" s="4">
        <v>120</v>
      </c>
      <c r="I684" s="4">
        <v>12</v>
      </c>
      <c r="J684" s="4">
        <f t="shared" si="81"/>
        <v>6000</v>
      </c>
      <c r="K684" s="4">
        <v>900</v>
      </c>
      <c r="L684" s="4">
        <f t="shared" si="82"/>
        <v>5100</v>
      </c>
      <c r="M684" s="4">
        <v>1500</v>
      </c>
      <c r="N684" s="4">
        <f t="shared" si="83"/>
        <v>3600</v>
      </c>
      <c r="O684" s="16">
        <f t="shared" si="84"/>
        <v>0.70588235294117652</v>
      </c>
      <c r="P684" s="19">
        <v>41699</v>
      </c>
      <c r="Q684" s="5">
        <f t="shared" si="85"/>
        <v>3</v>
      </c>
      <c r="R684" s="3" t="str">
        <f t="shared" si="86"/>
        <v>March</v>
      </c>
      <c r="S684" s="6">
        <f t="shared" si="87"/>
        <v>2014</v>
      </c>
    </row>
    <row r="685" spans="1:19" ht="12.75" x14ac:dyDescent="0.2">
      <c r="A685" s="2" t="s">
        <v>20</v>
      </c>
      <c r="B685" s="2" t="str">
        <f t="shared" si="80"/>
        <v>Midmarket</v>
      </c>
      <c r="C685" s="2" t="s">
        <v>21</v>
      </c>
      <c r="D685" s="2" t="str">
        <f>PROPER(Table1[[#This Row],[Country]])</f>
        <v>France</v>
      </c>
      <c r="E685" s="3" t="s">
        <v>30</v>
      </c>
      <c r="F685" s="3" t="s">
        <v>35</v>
      </c>
      <c r="G685" s="13">
        <v>2826</v>
      </c>
      <c r="H685" s="4">
        <v>120</v>
      </c>
      <c r="I685" s="4">
        <v>15</v>
      </c>
      <c r="J685" s="4">
        <f t="shared" si="81"/>
        <v>42390</v>
      </c>
      <c r="K685" s="4">
        <v>6358.5</v>
      </c>
      <c r="L685" s="4">
        <f t="shared" si="82"/>
        <v>36031.5</v>
      </c>
      <c r="M685" s="4">
        <v>28260</v>
      </c>
      <c r="N685" s="4">
        <f t="shared" si="83"/>
        <v>7771.5</v>
      </c>
      <c r="O685" s="16">
        <f t="shared" si="84"/>
        <v>0.21568627450980393</v>
      </c>
      <c r="P685" s="19">
        <v>41760</v>
      </c>
      <c r="Q685" s="5">
        <f t="shared" si="85"/>
        <v>5</v>
      </c>
      <c r="R685" s="3" t="str">
        <f t="shared" si="86"/>
        <v>May</v>
      </c>
      <c r="S685" s="6">
        <f t="shared" si="87"/>
        <v>2014</v>
      </c>
    </row>
    <row r="686" spans="1:19" ht="12.75" x14ac:dyDescent="0.2">
      <c r="A686" s="2" t="s">
        <v>25</v>
      </c>
      <c r="B686" s="2" t="str">
        <f t="shared" si="80"/>
        <v>Enterprise</v>
      </c>
      <c r="C686" s="2" t="s">
        <v>21</v>
      </c>
      <c r="D686" s="2" t="str">
        <f>PROPER(Table1[[#This Row],[Country]])</f>
        <v>France</v>
      </c>
      <c r="E686" s="3" t="s">
        <v>30</v>
      </c>
      <c r="F686" s="3" t="s">
        <v>35</v>
      </c>
      <c r="G686" s="13">
        <v>663</v>
      </c>
      <c r="H686" s="4">
        <v>120</v>
      </c>
      <c r="I686" s="4">
        <v>125</v>
      </c>
      <c r="J686" s="4">
        <f t="shared" si="81"/>
        <v>82875</v>
      </c>
      <c r="K686" s="4">
        <v>12431.25</v>
      </c>
      <c r="L686" s="4">
        <f t="shared" si="82"/>
        <v>70443.75</v>
      </c>
      <c r="M686" s="4">
        <v>79560</v>
      </c>
      <c r="N686" s="4">
        <f t="shared" si="83"/>
        <v>-9116.25</v>
      </c>
      <c r="O686" s="16">
        <f t="shared" si="84"/>
        <v>-0.12941176470588237</v>
      </c>
      <c r="P686" s="19">
        <v>41883</v>
      </c>
      <c r="Q686" s="5">
        <f t="shared" si="85"/>
        <v>9</v>
      </c>
      <c r="R686" s="3" t="str">
        <f t="shared" si="86"/>
        <v>September</v>
      </c>
      <c r="S686" s="6">
        <f t="shared" si="87"/>
        <v>2014</v>
      </c>
    </row>
    <row r="687" spans="1:19" ht="12.75" x14ac:dyDescent="0.2">
      <c r="A687" s="2" t="s">
        <v>29</v>
      </c>
      <c r="B687" s="2" t="str">
        <f t="shared" si="80"/>
        <v>Small Business</v>
      </c>
      <c r="C687" s="2" t="s">
        <v>71</v>
      </c>
      <c r="D687" s="2" t="str">
        <f>PROPER(Table1[[#This Row],[Country]])</f>
        <v>Usa</v>
      </c>
      <c r="E687" s="3" t="s">
        <v>30</v>
      </c>
      <c r="F687" s="3" t="s">
        <v>35</v>
      </c>
      <c r="G687" s="13">
        <v>2574</v>
      </c>
      <c r="H687" s="4">
        <v>120</v>
      </c>
      <c r="I687" s="4">
        <v>300</v>
      </c>
      <c r="J687" s="4">
        <f t="shared" si="81"/>
        <v>772200</v>
      </c>
      <c r="K687" s="4">
        <v>115830</v>
      </c>
      <c r="L687" s="4">
        <f t="shared" si="82"/>
        <v>656370</v>
      </c>
      <c r="M687" s="4">
        <v>643500</v>
      </c>
      <c r="N687" s="4">
        <f t="shared" si="83"/>
        <v>12870</v>
      </c>
      <c r="O687" s="16">
        <f t="shared" si="84"/>
        <v>1.9607843137254902E-2</v>
      </c>
      <c r="P687" s="19">
        <v>41579</v>
      </c>
      <c r="Q687" s="5">
        <f t="shared" si="85"/>
        <v>11</v>
      </c>
      <c r="R687" s="3" t="str">
        <f t="shared" si="86"/>
        <v>November</v>
      </c>
      <c r="S687" s="6">
        <f t="shared" si="87"/>
        <v>2013</v>
      </c>
    </row>
    <row r="688" spans="1:19" ht="12.75" x14ac:dyDescent="0.2">
      <c r="A688" s="2" t="s">
        <v>25</v>
      </c>
      <c r="B688" s="2" t="str">
        <f t="shared" si="80"/>
        <v>Enterprise</v>
      </c>
      <c r="C688" s="2" t="s">
        <v>71</v>
      </c>
      <c r="D688" s="2" t="str">
        <f>PROPER(Table1[[#This Row],[Country]])</f>
        <v>Usa</v>
      </c>
      <c r="E688" s="3" t="s">
        <v>30</v>
      </c>
      <c r="F688" s="3" t="s">
        <v>35</v>
      </c>
      <c r="G688" s="13">
        <v>2438</v>
      </c>
      <c r="H688" s="4">
        <v>120</v>
      </c>
      <c r="I688" s="4">
        <v>125</v>
      </c>
      <c r="J688" s="4">
        <f t="shared" si="81"/>
        <v>304750</v>
      </c>
      <c r="K688" s="4">
        <v>45712.5</v>
      </c>
      <c r="L688" s="4">
        <f t="shared" si="82"/>
        <v>259037.5</v>
      </c>
      <c r="M688" s="4">
        <v>292560</v>
      </c>
      <c r="N688" s="4">
        <f t="shared" si="83"/>
        <v>-33522.5</v>
      </c>
      <c r="O688" s="16">
        <f t="shared" si="84"/>
        <v>-0.12941176470588237</v>
      </c>
      <c r="P688" s="19">
        <v>41609</v>
      </c>
      <c r="Q688" s="5">
        <f t="shared" si="85"/>
        <v>12</v>
      </c>
      <c r="R688" s="3" t="str">
        <f t="shared" si="86"/>
        <v>December</v>
      </c>
      <c r="S688" s="6">
        <f t="shared" si="87"/>
        <v>2013</v>
      </c>
    </row>
    <row r="689" spans="1:19" ht="12.75" x14ac:dyDescent="0.2">
      <c r="A689" s="2" t="s">
        <v>24</v>
      </c>
      <c r="B689" s="2" t="str">
        <f t="shared" si="80"/>
        <v>Channel Partners</v>
      </c>
      <c r="C689" s="2" t="s">
        <v>71</v>
      </c>
      <c r="D689" s="2" t="str">
        <f>PROPER(Table1[[#This Row],[Country]])</f>
        <v>Usa</v>
      </c>
      <c r="E689" s="3" t="s">
        <v>30</v>
      </c>
      <c r="F689" s="3" t="s">
        <v>35</v>
      </c>
      <c r="G689" s="13">
        <v>914</v>
      </c>
      <c r="H689" s="4">
        <v>120</v>
      </c>
      <c r="I689" s="4">
        <v>12</v>
      </c>
      <c r="J689" s="4">
        <f t="shared" si="81"/>
        <v>10968</v>
      </c>
      <c r="K689" s="4">
        <v>1645.2</v>
      </c>
      <c r="L689" s="4">
        <f t="shared" si="82"/>
        <v>9322.7999999999993</v>
      </c>
      <c r="M689" s="4">
        <v>2742</v>
      </c>
      <c r="N689" s="4">
        <f t="shared" si="83"/>
        <v>6580.7999999999993</v>
      </c>
      <c r="O689" s="16">
        <f t="shared" si="84"/>
        <v>0.70588235294117641</v>
      </c>
      <c r="P689" s="19">
        <v>41974</v>
      </c>
      <c r="Q689" s="5">
        <f t="shared" si="85"/>
        <v>12</v>
      </c>
      <c r="R689" s="3" t="str">
        <f t="shared" si="86"/>
        <v>December</v>
      </c>
      <c r="S689" s="6">
        <f t="shared" si="87"/>
        <v>2014</v>
      </c>
    </row>
    <row r="690" spans="1:19" ht="12.75" x14ac:dyDescent="0.2">
      <c r="A690" s="2" t="s">
        <v>15</v>
      </c>
      <c r="B690" s="2" t="str">
        <f t="shared" si="80"/>
        <v>Government</v>
      </c>
      <c r="C690" s="2" t="s">
        <v>16</v>
      </c>
      <c r="D690" s="2" t="str">
        <f>PROPER(Table1[[#This Row],[Country]])</f>
        <v>Canada</v>
      </c>
      <c r="E690" s="3" t="s">
        <v>31</v>
      </c>
      <c r="F690" s="3" t="s">
        <v>35</v>
      </c>
      <c r="G690" s="13">
        <v>865.5</v>
      </c>
      <c r="H690" s="4">
        <v>250</v>
      </c>
      <c r="I690" s="4">
        <v>20</v>
      </c>
      <c r="J690" s="4">
        <f t="shared" si="81"/>
        <v>17310</v>
      </c>
      <c r="K690" s="4">
        <v>2596.5</v>
      </c>
      <c r="L690" s="4">
        <f t="shared" si="82"/>
        <v>14713.5</v>
      </c>
      <c r="M690" s="4">
        <v>8655</v>
      </c>
      <c r="N690" s="4">
        <f t="shared" si="83"/>
        <v>6058.5</v>
      </c>
      <c r="O690" s="16">
        <f t="shared" si="84"/>
        <v>0.41176470588235292</v>
      </c>
      <c r="P690" s="19">
        <v>41821</v>
      </c>
      <c r="Q690" s="5">
        <f t="shared" si="85"/>
        <v>7</v>
      </c>
      <c r="R690" s="3" t="str">
        <f t="shared" si="86"/>
        <v>July</v>
      </c>
      <c r="S690" s="6">
        <f t="shared" si="87"/>
        <v>2014</v>
      </c>
    </row>
    <row r="691" spans="1:19" ht="12.75" x14ac:dyDescent="0.2">
      <c r="A691" s="2" t="s">
        <v>20</v>
      </c>
      <c r="B691" s="2" t="str">
        <f t="shared" si="80"/>
        <v>Midmarket</v>
      </c>
      <c r="C691" s="2" t="s">
        <v>19</v>
      </c>
      <c r="D691" s="2" t="str">
        <f>PROPER(Table1[[#This Row],[Country]])</f>
        <v>Germany</v>
      </c>
      <c r="E691" s="3" t="s">
        <v>31</v>
      </c>
      <c r="F691" s="3" t="s">
        <v>35</v>
      </c>
      <c r="G691" s="13">
        <v>492</v>
      </c>
      <c r="H691" s="4">
        <v>250</v>
      </c>
      <c r="I691" s="4">
        <v>15</v>
      </c>
      <c r="J691" s="4">
        <f t="shared" si="81"/>
        <v>7380</v>
      </c>
      <c r="K691" s="4">
        <v>1107</v>
      </c>
      <c r="L691" s="4">
        <f t="shared" si="82"/>
        <v>6273</v>
      </c>
      <c r="M691" s="4">
        <v>4920</v>
      </c>
      <c r="N691" s="4">
        <f t="shared" si="83"/>
        <v>1353</v>
      </c>
      <c r="O691" s="16">
        <f t="shared" si="84"/>
        <v>0.21568627450980393</v>
      </c>
      <c r="P691" s="19">
        <v>41821</v>
      </c>
      <c r="Q691" s="5">
        <f t="shared" si="85"/>
        <v>7</v>
      </c>
      <c r="R691" s="3" t="str">
        <f t="shared" si="86"/>
        <v>July</v>
      </c>
      <c r="S691" s="6">
        <f t="shared" si="87"/>
        <v>2014</v>
      </c>
    </row>
    <row r="692" spans="1:19" ht="12.75" x14ac:dyDescent="0.2">
      <c r="A692" s="2" t="s">
        <v>15</v>
      </c>
      <c r="B692" s="2" t="str">
        <f t="shared" si="80"/>
        <v>Government</v>
      </c>
      <c r="C692" s="2" t="s">
        <v>71</v>
      </c>
      <c r="D692" s="2" t="str">
        <f>PROPER(Table1[[#This Row],[Country]])</f>
        <v>Usa</v>
      </c>
      <c r="E692" s="3" t="s">
        <v>31</v>
      </c>
      <c r="F692" s="3" t="s">
        <v>35</v>
      </c>
      <c r="G692" s="13">
        <v>267</v>
      </c>
      <c r="H692" s="4">
        <v>250</v>
      </c>
      <c r="I692" s="4">
        <v>20</v>
      </c>
      <c r="J692" s="4">
        <f t="shared" si="81"/>
        <v>5340</v>
      </c>
      <c r="K692" s="4">
        <v>801</v>
      </c>
      <c r="L692" s="4">
        <f t="shared" si="82"/>
        <v>4539</v>
      </c>
      <c r="M692" s="4">
        <v>2670</v>
      </c>
      <c r="N692" s="4">
        <f t="shared" si="83"/>
        <v>1869</v>
      </c>
      <c r="O692" s="16">
        <f t="shared" si="84"/>
        <v>0.41176470588235292</v>
      </c>
      <c r="P692" s="19">
        <v>41548</v>
      </c>
      <c r="Q692" s="5">
        <f t="shared" si="85"/>
        <v>10</v>
      </c>
      <c r="R692" s="3" t="str">
        <f t="shared" si="86"/>
        <v>October</v>
      </c>
      <c r="S692" s="6">
        <f t="shared" si="87"/>
        <v>2013</v>
      </c>
    </row>
    <row r="693" spans="1:19" ht="12.75" x14ac:dyDescent="0.2">
      <c r="A693" s="2" t="s">
        <v>20</v>
      </c>
      <c r="B693" s="2" t="str">
        <f t="shared" si="80"/>
        <v>Midmarket</v>
      </c>
      <c r="C693" s="2" t="s">
        <v>19</v>
      </c>
      <c r="D693" s="2" t="str">
        <f>PROPER(Table1[[#This Row],[Country]])</f>
        <v>Germany</v>
      </c>
      <c r="E693" s="3" t="s">
        <v>31</v>
      </c>
      <c r="F693" s="3" t="s">
        <v>35</v>
      </c>
      <c r="G693" s="13">
        <v>1175</v>
      </c>
      <c r="H693" s="4">
        <v>250</v>
      </c>
      <c r="I693" s="4">
        <v>15</v>
      </c>
      <c r="J693" s="4">
        <f t="shared" si="81"/>
        <v>17625</v>
      </c>
      <c r="K693" s="4">
        <v>2643.75</v>
      </c>
      <c r="L693" s="4">
        <f t="shared" si="82"/>
        <v>14981.25</v>
      </c>
      <c r="M693" s="4">
        <v>11750</v>
      </c>
      <c r="N693" s="4">
        <f t="shared" si="83"/>
        <v>3231.25</v>
      </c>
      <c r="O693" s="16">
        <f t="shared" si="84"/>
        <v>0.21568627450980393</v>
      </c>
      <c r="P693" s="19">
        <v>41913</v>
      </c>
      <c r="Q693" s="5">
        <f t="shared" si="85"/>
        <v>10</v>
      </c>
      <c r="R693" s="3" t="str">
        <f t="shared" si="86"/>
        <v>October</v>
      </c>
      <c r="S693" s="6">
        <f t="shared" si="87"/>
        <v>2014</v>
      </c>
    </row>
    <row r="694" spans="1:19" ht="12.75" x14ac:dyDescent="0.2">
      <c r="A694" s="2" t="s">
        <v>25</v>
      </c>
      <c r="B694" s="2" t="str">
        <f t="shared" si="80"/>
        <v>Enterprise</v>
      </c>
      <c r="C694" s="2" t="s">
        <v>16</v>
      </c>
      <c r="D694" s="2" t="str">
        <f>PROPER(Table1[[#This Row],[Country]])</f>
        <v>Canada</v>
      </c>
      <c r="E694" s="3" t="s">
        <v>31</v>
      </c>
      <c r="F694" s="3" t="s">
        <v>35</v>
      </c>
      <c r="G694" s="13">
        <v>2954</v>
      </c>
      <c r="H694" s="4">
        <v>250</v>
      </c>
      <c r="I694" s="4">
        <v>125</v>
      </c>
      <c r="J694" s="4">
        <f t="shared" si="81"/>
        <v>369250</v>
      </c>
      <c r="K694" s="4">
        <v>55387.5</v>
      </c>
      <c r="L694" s="4">
        <f t="shared" si="82"/>
        <v>313862.5</v>
      </c>
      <c r="M694" s="4">
        <v>354480</v>
      </c>
      <c r="N694" s="4">
        <f t="shared" si="83"/>
        <v>-40617.5</v>
      </c>
      <c r="O694" s="16">
        <f t="shared" si="84"/>
        <v>-0.12941176470588237</v>
      </c>
      <c r="P694" s="19">
        <v>41579</v>
      </c>
      <c r="Q694" s="5">
        <f t="shared" si="85"/>
        <v>11</v>
      </c>
      <c r="R694" s="3" t="str">
        <f t="shared" si="86"/>
        <v>November</v>
      </c>
      <c r="S694" s="6">
        <f t="shared" si="87"/>
        <v>2013</v>
      </c>
    </row>
    <row r="695" spans="1:19" ht="12.75" x14ac:dyDescent="0.2">
      <c r="A695" s="2" t="s">
        <v>25</v>
      </c>
      <c r="B695" s="2" t="str">
        <f t="shared" si="80"/>
        <v>Enterprise</v>
      </c>
      <c r="C695" s="2" t="s">
        <v>19</v>
      </c>
      <c r="D695" s="2" t="str">
        <f>PROPER(Table1[[#This Row],[Country]])</f>
        <v>Germany</v>
      </c>
      <c r="E695" s="3" t="s">
        <v>31</v>
      </c>
      <c r="F695" s="3" t="s">
        <v>35</v>
      </c>
      <c r="G695" s="13">
        <v>552</v>
      </c>
      <c r="H695" s="4">
        <v>250</v>
      </c>
      <c r="I695" s="4">
        <v>125</v>
      </c>
      <c r="J695" s="4">
        <f t="shared" si="81"/>
        <v>69000</v>
      </c>
      <c r="K695" s="4">
        <v>10350</v>
      </c>
      <c r="L695" s="4">
        <f t="shared" si="82"/>
        <v>58650</v>
      </c>
      <c r="M695" s="4">
        <v>66240</v>
      </c>
      <c r="N695" s="4">
        <f t="shared" si="83"/>
        <v>-7590</v>
      </c>
      <c r="O695" s="16">
        <f t="shared" si="84"/>
        <v>-0.12941176470588237</v>
      </c>
      <c r="P695" s="19">
        <v>41944</v>
      </c>
      <c r="Q695" s="5">
        <f t="shared" si="85"/>
        <v>11</v>
      </c>
      <c r="R695" s="3" t="str">
        <f t="shared" si="86"/>
        <v>November</v>
      </c>
      <c r="S695" s="6">
        <f t="shared" si="87"/>
        <v>2014</v>
      </c>
    </row>
    <row r="696" spans="1:19" ht="12.75" x14ac:dyDescent="0.2">
      <c r="A696" s="2" t="s">
        <v>15</v>
      </c>
      <c r="B696" s="2" t="str">
        <f t="shared" si="80"/>
        <v>Government</v>
      </c>
      <c r="C696" s="2" t="s">
        <v>21</v>
      </c>
      <c r="D696" s="2" t="str">
        <f>PROPER(Table1[[#This Row],[Country]])</f>
        <v>France</v>
      </c>
      <c r="E696" s="3" t="s">
        <v>31</v>
      </c>
      <c r="F696" s="3" t="s">
        <v>35</v>
      </c>
      <c r="G696" s="13">
        <v>293</v>
      </c>
      <c r="H696" s="4">
        <v>250</v>
      </c>
      <c r="I696" s="4">
        <v>20</v>
      </c>
      <c r="J696" s="4">
        <f t="shared" si="81"/>
        <v>5860</v>
      </c>
      <c r="K696" s="4">
        <v>879</v>
      </c>
      <c r="L696" s="4">
        <f t="shared" si="82"/>
        <v>4981</v>
      </c>
      <c r="M696" s="4">
        <v>2930</v>
      </c>
      <c r="N696" s="4">
        <f t="shared" si="83"/>
        <v>2051</v>
      </c>
      <c r="O696" s="16">
        <f t="shared" si="84"/>
        <v>0.41176470588235292</v>
      </c>
      <c r="P696" s="19">
        <v>41974</v>
      </c>
      <c r="Q696" s="5">
        <f t="shared" si="85"/>
        <v>12</v>
      </c>
      <c r="R696" s="3" t="str">
        <f t="shared" si="86"/>
        <v>December</v>
      </c>
      <c r="S696" s="6">
        <f t="shared" si="87"/>
        <v>2014</v>
      </c>
    </row>
    <row r="697" spans="1:19" ht="12.75" x14ac:dyDescent="0.2">
      <c r="A697" s="2" t="s">
        <v>29</v>
      </c>
      <c r="B697" s="2" t="str">
        <f t="shared" si="80"/>
        <v>Small Business</v>
      </c>
      <c r="C697" s="2" t="s">
        <v>21</v>
      </c>
      <c r="D697" s="2" t="str">
        <f>PROPER(Table1[[#This Row],[Country]])</f>
        <v>France</v>
      </c>
      <c r="E697" s="3" t="s">
        <v>32</v>
      </c>
      <c r="F697" s="3" t="s">
        <v>35</v>
      </c>
      <c r="G697" s="13">
        <v>2475</v>
      </c>
      <c r="H697" s="4">
        <v>260</v>
      </c>
      <c r="I697" s="4">
        <v>300</v>
      </c>
      <c r="J697" s="4">
        <f t="shared" si="81"/>
        <v>742500</v>
      </c>
      <c r="K697" s="4">
        <v>111375</v>
      </c>
      <c r="L697" s="4">
        <f t="shared" si="82"/>
        <v>631125</v>
      </c>
      <c r="M697" s="4">
        <v>618750</v>
      </c>
      <c r="N697" s="4">
        <f t="shared" si="83"/>
        <v>12375</v>
      </c>
      <c r="O697" s="16">
        <f t="shared" si="84"/>
        <v>1.9607843137254902E-2</v>
      </c>
      <c r="P697" s="19">
        <v>41699</v>
      </c>
      <c r="Q697" s="5">
        <f t="shared" si="85"/>
        <v>3</v>
      </c>
      <c r="R697" s="3" t="str">
        <f t="shared" si="86"/>
        <v>March</v>
      </c>
      <c r="S697" s="6">
        <f t="shared" si="87"/>
        <v>2014</v>
      </c>
    </row>
    <row r="698" spans="1:19" ht="12.75" x14ac:dyDescent="0.2">
      <c r="A698" s="2" t="s">
        <v>29</v>
      </c>
      <c r="B698" s="2" t="str">
        <f t="shared" si="80"/>
        <v>Small Business</v>
      </c>
      <c r="C698" s="2" t="s">
        <v>22</v>
      </c>
      <c r="D698" s="2" t="str">
        <f>PROPER(Table1[[#This Row],[Country]])</f>
        <v>Mexico</v>
      </c>
      <c r="E698" s="3" t="s">
        <v>32</v>
      </c>
      <c r="F698" s="3" t="s">
        <v>35</v>
      </c>
      <c r="G698" s="13">
        <v>546</v>
      </c>
      <c r="H698" s="4">
        <v>260</v>
      </c>
      <c r="I698" s="4">
        <v>300</v>
      </c>
      <c r="J698" s="4">
        <f t="shared" si="81"/>
        <v>163800</v>
      </c>
      <c r="K698" s="4">
        <v>24570</v>
      </c>
      <c r="L698" s="4">
        <f t="shared" si="82"/>
        <v>139230</v>
      </c>
      <c r="M698" s="4">
        <v>136500</v>
      </c>
      <c r="N698" s="4">
        <f t="shared" si="83"/>
        <v>2730</v>
      </c>
      <c r="O698" s="16">
        <f t="shared" si="84"/>
        <v>1.9607843137254902E-2</v>
      </c>
      <c r="P698" s="19">
        <v>41913</v>
      </c>
      <c r="Q698" s="5">
        <f t="shared" si="85"/>
        <v>10</v>
      </c>
      <c r="R698" s="3" t="str">
        <f t="shared" si="86"/>
        <v>October</v>
      </c>
      <c r="S698" s="6">
        <f t="shared" si="87"/>
        <v>2014</v>
      </c>
    </row>
    <row r="699" spans="1:19" ht="12.75" x14ac:dyDescent="0.2">
      <c r="A699" s="2" t="s">
        <v>15</v>
      </c>
      <c r="B699" s="2" t="str">
        <f t="shared" si="80"/>
        <v>Government</v>
      </c>
      <c r="C699" s="2" t="s">
        <v>22</v>
      </c>
      <c r="D699" s="2" t="str">
        <f>PROPER(Table1[[#This Row],[Country]])</f>
        <v>Mexico</v>
      </c>
      <c r="E699" s="3" t="s">
        <v>23</v>
      </c>
      <c r="F699" s="3" t="s">
        <v>35</v>
      </c>
      <c r="G699" s="13">
        <v>1368</v>
      </c>
      <c r="H699" s="4">
        <v>5</v>
      </c>
      <c r="I699" s="4">
        <v>7</v>
      </c>
      <c r="J699" s="4">
        <f t="shared" si="81"/>
        <v>9576</v>
      </c>
      <c r="K699" s="4">
        <v>1436.4</v>
      </c>
      <c r="L699" s="4">
        <f t="shared" si="82"/>
        <v>8139.6</v>
      </c>
      <c r="M699" s="4">
        <v>6840</v>
      </c>
      <c r="N699" s="4">
        <f t="shared" si="83"/>
        <v>1299.6000000000004</v>
      </c>
      <c r="O699" s="16">
        <f t="shared" si="84"/>
        <v>0.15966386554621853</v>
      </c>
      <c r="P699" s="19">
        <v>41671</v>
      </c>
      <c r="Q699" s="5">
        <f t="shared" si="85"/>
        <v>2</v>
      </c>
      <c r="R699" s="3" t="str">
        <f t="shared" si="86"/>
        <v>February</v>
      </c>
      <c r="S699" s="6">
        <f t="shared" si="87"/>
        <v>2014</v>
      </c>
    </row>
    <row r="700" spans="1:19" ht="12.75" x14ac:dyDescent="0.2">
      <c r="A700" s="2" t="s">
        <v>15</v>
      </c>
      <c r="B700" s="2" t="str">
        <f t="shared" si="80"/>
        <v>Government</v>
      </c>
      <c r="C700" s="2" t="s">
        <v>16</v>
      </c>
      <c r="D700" s="2" t="str">
        <f>PROPER(Table1[[#This Row],[Country]])</f>
        <v>Canada</v>
      </c>
      <c r="E700" s="3" t="s">
        <v>28</v>
      </c>
      <c r="F700" s="3" t="s">
        <v>35</v>
      </c>
      <c r="G700" s="13">
        <v>723</v>
      </c>
      <c r="H700" s="4">
        <v>10</v>
      </c>
      <c r="I700" s="4">
        <v>7</v>
      </c>
      <c r="J700" s="4">
        <f t="shared" si="81"/>
        <v>5061</v>
      </c>
      <c r="K700" s="4">
        <v>759.15000000000009</v>
      </c>
      <c r="L700" s="4">
        <f t="shared" si="82"/>
        <v>4301.8500000000004</v>
      </c>
      <c r="M700" s="4">
        <v>3615</v>
      </c>
      <c r="N700" s="4">
        <f t="shared" si="83"/>
        <v>686.85000000000036</v>
      </c>
      <c r="O700" s="16">
        <f t="shared" si="84"/>
        <v>0.15966386554621856</v>
      </c>
      <c r="P700" s="19">
        <v>41730</v>
      </c>
      <c r="Q700" s="5">
        <f t="shared" si="85"/>
        <v>4</v>
      </c>
      <c r="R700" s="3" t="str">
        <f t="shared" si="86"/>
        <v>April</v>
      </c>
      <c r="S700" s="6">
        <f t="shared" si="87"/>
        <v>2014</v>
      </c>
    </row>
    <row r="701" spans="1:19" ht="12.75" x14ac:dyDescent="0.2">
      <c r="A701" s="2" t="s">
        <v>24</v>
      </c>
      <c r="B701" s="2" t="str">
        <f t="shared" si="80"/>
        <v>Channel Partners</v>
      </c>
      <c r="C701" s="2" t="s">
        <v>71</v>
      </c>
      <c r="D701" s="2" t="str">
        <f>PROPER(Table1[[#This Row],[Country]])</f>
        <v>Usa</v>
      </c>
      <c r="E701" s="3" t="s">
        <v>31</v>
      </c>
      <c r="F701" s="3" t="s">
        <v>35</v>
      </c>
      <c r="G701" s="13">
        <v>1806</v>
      </c>
      <c r="H701" s="4">
        <v>250</v>
      </c>
      <c r="I701" s="4">
        <v>12</v>
      </c>
      <c r="J701" s="4">
        <f t="shared" si="81"/>
        <v>21672</v>
      </c>
      <c r="K701" s="4">
        <v>3250.8</v>
      </c>
      <c r="L701" s="4">
        <f t="shared" si="82"/>
        <v>18421.2</v>
      </c>
      <c r="M701" s="4">
        <v>5418</v>
      </c>
      <c r="N701" s="4">
        <f t="shared" si="83"/>
        <v>13003.2</v>
      </c>
      <c r="O701" s="16">
        <f t="shared" si="84"/>
        <v>0.70588235294117652</v>
      </c>
      <c r="P701" s="19">
        <v>41760</v>
      </c>
      <c r="Q701" s="5">
        <f t="shared" si="85"/>
        <v>5</v>
      </c>
      <c r="R701" s="3" t="str">
        <f t="shared" si="86"/>
        <v>May</v>
      </c>
      <c r="S701" s="6">
        <f t="shared" si="87"/>
        <v>2014</v>
      </c>
    </row>
    <row r="702" spans="1:19" ht="12.75" x14ac:dyDescent="0.2">
      <c r="E702" s="7"/>
      <c r="G702" s="13"/>
      <c r="H702" s="4"/>
      <c r="I702" s="4"/>
      <c r="J702" s="4"/>
      <c r="K702" s="4"/>
      <c r="L702" s="4"/>
      <c r="M702" s="4"/>
      <c r="N702" s="4"/>
      <c r="O702" s="16"/>
      <c r="P702" s="19"/>
      <c r="Q702" s="5"/>
      <c r="S702" s="22"/>
    </row>
    <row r="703" spans="1:19" ht="12.75" x14ac:dyDescent="0.2">
      <c r="E703" s="7"/>
      <c r="G703" s="13"/>
      <c r="H703" s="4"/>
      <c r="I703" s="4"/>
      <c r="J703" s="4"/>
      <c r="K703" s="4"/>
      <c r="L703" s="4"/>
      <c r="M703" s="4"/>
      <c r="N703" s="4"/>
      <c r="O703" s="16"/>
      <c r="P703" s="19"/>
      <c r="Q703" s="5"/>
      <c r="S703" s="22"/>
    </row>
    <row r="704" spans="1:19" ht="12.75" x14ac:dyDescent="0.2">
      <c r="E704" s="7"/>
      <c r="G704" s="13"/>
      <c r="H704" s="4"/>
      <c r="I704" s="4"/>
      <c r="J704" s="4"/>
      <c r="K704" s="4"/>
      <c r="L704" s="4"/>
      <c r="M704" s="4"/>
      <c r="N704" s="4"/>
      <c r="O704" s="16"/>
      <c r="P704" s="19"/>
      <c r="Q704" s="5"/>
      <c r="S704" s="22"/>
    </row>
    <row r="705" spans="5:19" ht="12.75" x14ac:dyDescent="0.2">
      <c r="E705" s="7"/>
      <c r="G705" s="13"/>
      <c r="H705" s="4"/>
      <c r="I705" s="4"/>
      <c r="J705" s="4"/>
      <c r="K705" s="4"/>
      <c r="L705" s="4"/>
      <c r="M705" s="4"/>
      <c r="N705" s="4"/>
      <c r="O705" s="16"/>
      <c r="P705" s="19"/>
      <c r="Q705" s="5"/>
      <c r="S705" s="22"/>
    </row>
    <row r="706" spans="5:19" ht="12.75" x14ac:dyDescent="0.2">
      <c r="E706" s="7"/>
      <c r="G706" s="13"/>
      <c r="H706" s="4"/>
      <c r="I706" s="4"/>
      <c r="J706" s="4"/>
      <c r="K706" s="4"/>
      <c r="L706" s="4"/>
      <c r="M706" s="4"/>
      <c r="N706" s="4"/>
      <c r="O706" s="16"/>
      <c r="P706" s="19"/>
      <c r="Q706" s="5"/>
      <c r="S706" s="22"/>
    </row>
    <row r="707" spans="5:19" ht="12.75" x14ac:dyDescent="0.2">
      <c r="E707" s="7"/>
      <c r="G707" s="13"/>
      <c r="H707" s="4"/>
      <c r="I707" s="4"/>
      <c r="J707" s="4"/>
      <c r="K707" s="4"/>
      <c r="L707" s="4"/>
      <c r="M707" s="4"/>
      <c r="N707" s="4"/>
      <c r="O707" s="16"/>
      <c r="P707" s="19"/>
      <c r="Q707" s="5"/>
      <c r="S707" s="22"/>
    </row>
    <row r="708" spans="5:19" ht="12.75" x14ac:dyDescent="0.2">
      <c r="E708" s="7"/>
      <c r="G708" s="13"/>
      <c r="H708" s="4"/>
      <c r="I708" s="4"/>
      <c r="J708" s="4"/>
      <c r="K708" s="4"/>
      <c r="L708" s="4"/>
      <c r="M708" s="4"/>
      <c r="N708" s="4"/>
      <c r="O708" s="16"/>
      <c r="P708" s="19"/>
      <c r="Q708" s="5"/>
      <c r="S708" s="22"/>
    </row>
    <row r="709" spans="5:19" ht="12.75" x14ac:dyDescent="0.2">
      <c r="E709" s="7"/>
      <c r="G709" s="13"/>
      <c r="H709" s="4"/>
      <c r="I709" s="4"/>
      <c r="J709" s="4"/>
      <c r="K709" s="4"/>
      <c r="L709" s="4"/>
      <c r="M709" s="4"/>
      <c r="N709" s="4"/>
      <c r="O709" s="16"/>
      <c r="P709" s="19"/>
      <c r="Q709" s="5"/>
      <c r="S709" s="22"/>
    </row>
    <row r="710" spans="5:19" ht="12.75" x14ac:dyDescent="0.2">
      <c r="E710" s="7"/>
      <c r="G710" s="13"/>
      <c r="H710" s="4"/>
      <c r="I710" s="4"/>
      <c r="J710" s="4"/>
      <c r="K710" s="4"/>
      <c r="L710" s="4"/>
      <c r="M710" s="4"/>
      <c r="N710" s="4"/>
      <c r="O710" s="16"/>
      <c r="P710" s="19"/>
      <c r="Q710" s="5"/>
      <c r="S710" s="22"/>
    </row>
    <row r="711" spans="5:19" ht="12.75" x14ac:dyDescent="0.2">
      <c r="E711" s="7"/>
      <c r="G711" s="13"/>
      <c r="H711" s="4"/>
      <c r="I711" s="4"/>
      <c r="J711" s="4"/>
      <c r="K711" s="4"/>
      <c r="L711" s="4"/>
      <c r="M711" s="4"/>
      <c r="N711" s="4"/>
      <c r="O711" s="16"/>
      <c r="P711" s="19"/>
      <c r="Q711" s="5"/>
      <c r="S711" s="22"/>
    </row>
    <row r="712" spans="5:19" ht="12.75" x14ac:dyDescent="0.2">
      <c r="E712" s="7"/>
      <c r="G712" s="13"/>
      <c r="H712" s="4"/>
      <c r="I712" s="4"/>
      <c r="J712" s="4"/>
      <c r="K712" s="4"/>
      <c r="L712" s="4"/>
      <c r="M712" s="4"/>
      <c r="N712" s="4"/>
      <c r="O712" s="16"/>
      <c r="P712" s="19"/>
      <c r="Q712" s="5"/>
      <c r="S712" s="22"/>
    </row>
    <row r="713" spans="5:19" ht="12.75" x14ac:dyDescent="0.2">
      <c r="E713" s="7"/>
      <c r="G713" s="13"/>
      <c r="H713" s="4"/>
      <c r="I713" s="4"/>
      <c r="J713" s="4"/>
      <c r="K713" s="4"/>
      <c r="L713" s="4"/>
      <c r="M713" s="4"/>
      <c r="N713" s="4"/>
      <c r="O713" s="16"/>
      <c r="P713" s="19"/>
      <c r="Q713" s="5"/>
      <c r="S713" s="22"/>
    </row>
    <row r="714" spans="5:19" ht="12.75" x14ac:dyDescent="0.2">
      <c r="E714" s="7"/>
      <c r="G714" s="13"/>
      <c r="H714" s="4"/>
      <c r="I714" s="4"/>
      <c r="J714" s="4"/>
      <c r="K714" s="4"/>
      <c r="L714" s="4"/>
      <c r="M714" s="4"/>
      <c r="N714" s="4"/>
      <c r="O714" s="16"/>
      <c r="P714" s="19"/>
      <c r="Q714" s="5"/>
      <c r="S714" s="22"/>
    </row>
    <row r="715" spans="5:19" ht="12.75" x14ac:dyDescent="0.2">
      <c r="E715" s="7"/>
      <c r="G715" s="13"/>
      <c r="H715" s="4"/>
      <c r="I715" s="4"/>
      <c r="J715" s="4"/>
      <c r="K715" s="4"/>
      <c r="L715" s="4"/>
      <c r="M715" s="4"/>
      <c r="N715" s="4"/>
      <c r="O715" s="16"/>
      <c r="P715" s="19"/>
      <c r="Q715" s="5"/>
      <c r="S715" s="22"/>
    </row>
    <row r="716" spans="5:19" ht="12.75" x14ac:dyDescent="0.2">
      <c r="E716" s="7"/>
      <c r="G716" s="13"/>
      <c r="H716" s="4"/>
      <c r="I716" s="4"/>
      <c r="J716" s="4"/>
      <c r="K716" s="4"/>
      <c r="L716" s="4"/>
      <c r="M716" s="4"/>
      <c r="N716" s="4"/>
      <c r="O716" s="16"/>
      <c r="P716" s="19"/>
      <c r="Q716" s="5"/>
      <c r="S716" s="22"/>
    </row>
    <row r="717" spans="5:19" ht="12.75" x14ac:dyDescent="0.2">
      <c r="E717" s="7"/>
      <c r="G717" s="13"/>
      <c r="H717" s="4"/>
      <c r="I717" s="4"/>
      <c r="J717" s="4"/>
      <c r="K717" s="4"/>
      <c r="L717" s="4"/>
      <c r="M717" s="4"/>
      <c r="N717" s="4"/>
      <c r="O717" s="16"/>
      <c r="P717" s="19"/>
      <c r="Q717" s="5"/>
      <c r="S717" s="22"/>
    </row>
    <row r="718" spans="5:19" ht="12.75" x14ac:dyDescent="0.2">
      <c r="E718" s="7"/>
      <c r="G718" s="13"/>
      <c r="H718" s="4"/>
      <c r="I718" s="4"/>
      <c r="J718" s="4"/>
      <c r="K718" s="4"/>
      <c r="L718" s="4"/>
      <c r="M718" s="4"/>
      <c r="N718" s="4"/>
      <c r="O718" s="16"/>
      <c r="P718" s="19"/>
      <c r="Q718" s="5"/>
      <c r="S718" s="22"/>
    </row>
    <row r="719" spans="5:19" ht="12.75" x14ac:dyDescent="0.2">
      <c r="E719" s="7"/>
      <c r="G719" s="13"/>
      <c r="H719" s="4"/>
      <c r="I719" s="4"/>
      <c r="J719" s="4"/>
      <c r="K719" s="4"/>
      <c r="L719" s="4"/>
      <c r="M719" s="4"/>
      <c r="N719" s="4"/>
      <c r="O719" s="16"/>
      <c r="P719" s="19"/>
      <c r="Q719" s="5"/>
      <c r="S719" s="22"/>
    </row>
    <row r="720" spans="5:19" ht="12.75" x14ac:dyDescent="0.2">
      <c r="E720" s="7"/>
      <c r="G720" s="13"/>
      <c r="H720" s="4"/>
      <c r="I720" s="4"/>
      <c r="J720" s="4"/>
      <c r="K720" s="4"/>
      <c r="L720" s="4"/>
      <c r="M720" s="4"/>
      <c r="N720" s="4"/>
      <c r="O720" s="16"/>
      <c r="P720" s="19"/>
      <c r="Q720" s="5"/>
      <c r="S720" s="22"/>
    </row>
    <row r="721" spans="5:19" ht="12.75" x14ac:dyDescent="0.2">
      <c r="E721" s="7"/>
      <c r="G721" s="13"/>
      <c r="H721" s="4"/>
      <c r="I721" s="4"/>
      <c r="J721" s="4"/>
      <c r="K721" s="4"/>
      <c r="L721" s="4"/>
      <c r="M721" s="4"/>
      <c r="N721" s="4"/>
      <c r="O721" s="16"/>
      <c r="P721" s="19"/>
      <c r="Q721" s="5"/>
      <c r="S721" s="22"/>
    </row>
    <row r="722" spans="5:19" ht="12.75" x14ac:dyDescent="0.2">
      <c r="E722" s="7"/>
      <c r="G722" s="13"/>
      <c r="H722" s="4"/>
      <c r="I722" s="4"/>
      <c r="J722" s="4"/>
      <c r="K722" s="4"/>
      <c r="L722" s="4"/>
      <c r="M722" s="4"/>
      <c r="N722" s="4"/>
      <c r="O722" s="16"/>
      <c r="P722" s="19"/>
      <c r="Q722" s="5"/>
      <c r="S722" s="22"/>
    </row>
    <row r="723" spans="5:19" ht="12.75" x14ac:dyDescent="0.2">
      <c r="E723" s="7"/>
      <c r="G723" s="13"/>
      <c r="H723" s="4"/>
      <c r="I723" s="4"/>
      <c r="J723" s="4"/>
      <c r="K723" s="4"/>
      <c r="L723" s="4"/>
      <c r="M723" s="4"/>
      <c r="N723" s="4"/>
      <c r="O723" s="16"/>
      <c r="P723" s="19"/>
      <c r="Q723" s="5"/>
      <c r="S723" s="22"/>
    </row>
    <row r="724" spans="5:19" ht="12.75" x14ac:dyDescent="0.2">
      <c r="E724" s="7"/>
      <c r="G724" s="13"/>
      <c r="H724" s="4"/>
      <c r="I724" s="4"/>
      <c r="J724" s="4"/>
      <c r="K724" s="4"/>
      <c r="L724" s="4"/>
      <c r="M724" s="4"/>
      <c r="N724" s="4"/>
      <c r="O724" s="16"/>
      <c r="P724" s="19"/>
      <c r="Q724" s="5"/>
      <c r="S724" s="22"/>
    </row>
    <row r="725" spans="5:19" ht="12.75" x14ac:dyDescent="0.2">
      <c r="E725" s="7"/>
      <c r="G725" s="13"/>
      <c r="H725" s="4"/>
      <c r="I725" s="4"/>
      <c r="J725" s="4"/>
      <c r="K725" s="4"/>
      <c r="L725" s="4"/>
      <c r="M725" s="4"/>
      <c r="N725" s="4"/>
      <c r="O725" s="16"/>
      <c r="P725" s="19"/>
      <c r="Q725" s="5"/>
      <c r="S725" s="22"/>
    </row>
    <row r="726" spans="5:19" ht="12.75" x14ac:dyDescent="0.2">
      <c r="E726" s="7"/>
      <c r="G726" s="13"/>
      <c r="H726" s="4"/>
      <c r="I726" s="4"/>
      <c r="J726" s="4"/>
      <c r="K726" s="4"/>
      <c r="L726" s="4"/>
      <c r="M726" s="4"/>
      <c r="N726" s="4"/>
      <c r="O726" s="16"/>
      <c r="P726" s="19"/>
      <c r="Q726" s="5"/>
      <c r="S726" s="22"/>
    </row>
    <row r="727" spans="5:19" ht="12.75" x14ac:dyDescent="0.2">
      <c r="E727" s="7"/>
      <c r="G727" s="13"/>
      <c r="H727" s="4"/>
      <c r="I727" s="4"/>
      <c r="J727" s="4"/>
      <c r="K727" s="4"/>
      <c r="L727" s="4"/>
      <c r="M727" s="4"/>
      <c r="N727" s="4"/>
      <c r="O727" s="16"/>
      <c r="P727" s="19"/>
      <c r="Q727" s="5"/>
      <c r="S727" s="22"/>
    </row>
    <row r="728" spans="5:19" ht="12.75" x14ac:dyDescent="0.2">
      <c r="E728" s="7"/>
      <c r="G728" s="13"/>
      <c r="H728" s="4"/>
      <c r="I728" s="4"/>
      <c r="J728" s="4"/>
      <c r="K728" s="4"/>
      <c r="L728" s="4"/>
      <c r="M728" s="4"/>
      <c r="N728" s="4"/>
      <c r="O728" s="16"/>
      <c r="P728" s="19"/>
      <c r="Q728" s="5"/>
      <c r="S728" s="22"/>
    </row>
    <row r="729" spans="5:19" ht="12.75" x14ac:dyDescent="0.2">
      <c r="E729" s="7"/>
      <c r="G729" s="13"/>
      <c r="H729" s="4"/>
      <c r="I729" s="4"/>
      <c r="J729" s="4"/>
      <c r="K729" s="4"/>
      <c r="L729" s="4"/>
      <c r="M729" s="4"/>
      <c r="N729" s="4"/>
      <c r="O729" s="16"/>
      <c r="P729" s="19"/>
      <c r="Q729" s="5"/>
      <c r="S729" s="22"/>
    </row>
    <row r="730" spans="5:19" ht="12.75" x14ac:dyDescent="0.2">
      <c r="E730" s="7"/>
      <c r="G730" s="13"/>
      <c r="H730" s="4"/>
      <c r="I730" s="4"/>
      <c r="J730" s="4"/>
      <c r="K730" s="4"/>
      <c r="L730" s="4"/>
      <c r="M730" s="4"/>
      <c r="N730" s="4"/>
      <c r="O730" s="16"/>
      <c r="P730" s="19"/>
      <c r="Q730" s="5"/>
      <c r="S730" s="22"/>
    </row>
    <row r="731" spans="5:19" ht="12.75" x14ac:dyDescent="0.2">
      <c r="E731" s="7"/>
      <c r="G731" s="13"/>
      <c r="H731" s="4"/>
      <c r="I731" s="4"/>
      <c r="J731" s="4"/>
      <c r="K731" s="4"/>
      <c r="L731" s="4"/>
      <c r="M731" s="4"/>
      <c r="N731" s="4"/>
      <c r="O731" s="16"/>
      <c r="P731" s="19"/>
      <c r="Q731" s="5"/>
      <c r="S731" s="22"/>
    </row>
    <row r="732" spans="5:19" ht="12.75" x14ac:dyDescent="0.2">
      <c r="E732" s="7"/>
      <c r="G732" s="13"/>
      <c r="H732" s="4"/>
      <c r="I732" s="4"/>
      <c r="J732" s="4"/>
      <c r="K732" s="4"/>
      <c r="L732" s="4"/>
      <c r="M732" s="4"/>
      <c r="N732" s="4"/>
      <c r="O732" s="16"/>
      <c r="P732" s="19"/>
      <c r="Q732" s="5"/>
      <c r="S732" s="22"/>
    </row>
    <row r="733" spans="5:19" ht="12.75" x14ac:dyDescent="0.2">
      <c r="E733" s="7"/>
      <c r="G733" s="13"/>
      <c r="H733" s="4"/>
      <c r="I733" s="4"/>
      <c r="J733" s="4"/>
      <c r="K733" s="4"/>
      <c r="L733" s="4"/>
      <c r="M733" s="4"/>
      <c r="N733" s="4"/>
      <c r="O733" s="16"/>
      <c r="P733" s="19"/>
      <c r="Q733" s="5"/>
      <c r="S733" s="22"/>
    </row>
    <row r="734" spans="5:19" ht="12.75" x14ac:dyDescent="0.2">
      <c r="E734" s="7"/>
      <c r="G734" s="13"/>
      <c r="H734" s="4"/>
      <c r="I734" s="4"/>
      <c r="J734" s="4"/>
      <c r="K734" s="4"/>
      <c r="L734" s="4"/>
      <c r="M734" s="4"/>
      <c r="N734" s="4"/>
      <c r="O734" s="16"/>
      <c r="P734" s="19"/>
      <c r="Q734" s="5"/>
      <c r="S734" s="22"/>
    </row>
    <row r="735" spans="5:19" ht="12.75" x14ac:dyDescent="0.2">
      <c r="E735" s="7"/>
      <c r="G735" s="13"/>
      <c r="H735" s="4"/>
      <c r="I735" s="4"/>
      <c r="J735" s="4"/>
      <c r="K735" s="4"/>
      <c r="L735" s="4"/>
      <c r="M735" s="4"/>
      <c r="N735" s="4"/>
      <c r="O735" s="16"/>
      <c r="P735" s="19"/>
      <c r="Q735" s="5"/>
      <c r="S735" s="22"/>
    </row>
    <row r="736" spans="5:19" ht="12.75" x14ac:dyDescent="0.2">
      <c r="E736" s="7"/>
      <c r="G736" s="13"/>
      <c r="H736" s="4"/>
      <c r="I736" s="4"/>
      <c r="J736" s="4"/>
      <c r="K736" s="4"/>
      <c r="L736" s="4"/>
      <c r="M736" s="4"/>
      <c r="N736" s="4"/>
      <c r="O736" s="16"/>
      <c r="P736" s="19"/>
      <c r="Q736" s="5"/>
      <c r="S736" s="22"/>
    </row>
    <row r="737" spans="5:19" ht="12.75" x14ac:dyDescent="0.2">
      <c r="E737" s="7"/>
      <c r="G737" s="13"/>
      <c r="H737" s="4"/>
      <c r="I737" s="4"/>
      <c r="J737" s="4"/>
      <c r="K737" s="4"/>
      <c r="L737" s="4"/>
      <c r="M737" s="4"/>
      <c r="N737" s="4"/>
      <c r="O737" s="16"/>
      <c r="P737" s="19"/>
      <c r="Q737" s="5"/>
      <c r="S737" s="22"/>
    </row>
    <row r="738" spans="5:19" ht="12.75" x14ac:dyDescent="0.2">
      <c r="E738" s="7"/>
      <c r="G738" s="13"/>
      <c r="H738" s="4"/>
      <c r="I738" s="4"/>
      <c r="J738" s="4"/>
      <c r="K738" s="4"/>
      <c r="L738" s="4"/>
      <c r="M738" s="4"/>
      <c r="N738" s="4"/>
      <c r="O738" s="16"/>
      <c r="P738" s="19"/>
      <c r="Q738" s="5"/>
      <c r="S738" s="22"/>
    </row>
    <row r="739" spans="5:19" ht="12.75" x14ac:dyDescent="0.2">
      <c r="E739" s="7"/>
      <c r="G739" s="13"/>
      <c r="H739" s="4"/>
      <c r="I739" s="4"/>
      <c r="J739" s="4"/>
      <c r="K739" s="4"/>
      <c r="L739" s="4"/>
      <c r="M739" s="4"/>
      <c r="N739" s="4"/>
      <c r="O739" s="16"/>
      <c r="P739" s="19"/>
      <c r="Q739" s="5"/>
      <c r="S739" s="22"/>
    </row>
    <row r="740" spans="5:19" ht="12.75" x14ac:dyDescent="0.2">
      <c r="E740" s="7"/>
      <c r="G740" s="13"/>
      <c r="H740" s="4"/>
      <c r="I740" s="4"/>
      <c r="J740" s="4"/>
      <c r="K740" s="4"/>
      <c r="L740" s="4"/>
      <c r="M740" s="4"/>
      <c r="N740" s="4"/>
      <c r="O740" s="16"/>
      <c r="P740" s="19"/>
      <c r="Q740" s="5"/>
      <c r="S740" s="22"/>
    </row>
    <row r="741" spans="5:19" ht="12.75" x14ac:dyDescent="0.2">
      <c r="E741" s="7"/>
      <c r="G741" s="13"/>
      <c r="H741" s="4"/>
      <c r="I741" s="4"/>
      <c r="J741" s="4"/>
      <c r="K741" s="4"/>
      <c r="L741" s="4"/>
      <c r="M741" s="4"/>
      <c r="N741" s="4"/>
      <c r="O741" s="16"/>
      <c r="P741" s="19"/>
      <c r="Q741" s="5"/>
      <c r="S741" s="22"/>
    </row>
    <row r="742" spans="5:19" ht="12.75" x14ac:dyDescent="0.2">
      <c r="E742" s="7"/>
      <c r="G742" s="13"/>
      <c r="H742" s="4"/>
      <c r="I742" s="4"/>
      <c r="J742" s="4"/>
      <c r="K742" s="4"/>
      <c r="L742" s="4"/>
      <c r="M742" s="4"/>
      <c r="N742" s="4"/>
      <c r="O742" s="16"/>
      <c r="P742" s="19"/>
      <c r="Q742" s="5"/>
      <c r="S742" s="22"/>
    </row>
    <row r="743" spans="5:19" ht="12.75" x14ac:dyDescent="0.2">
      <c r="E743" s="7"/>
      <c r="G743" s="13"/>
      <c r="H743" s="4"/>
      <c r="I743" s="4"/>
      <c r="J743" s="4"/>
      <c r="K743" s="4"/>
      <c r="L743" s="4"/>
      <c r="M743" s="4"/>
      <c r="N743" s="4"/>
      <c r="O743" s="16"/>
      <c r="P743" s="19"/>
      <c r="Q743" s="5"/>
      <c r="S743" s="22"/>
    </row>
    <row r="744" spans="5:19" ht="12.75" x14ac:dyDescent="0.2">
      <c r="E744" s="7"/>
      <c r="G744" s="13"/>
      <c r="H744" s="4"/>
      <c r="I744" s="4"/>
      <c r="J744" s="4"/>
      <c r="K744" s="4"/>
      <c r="L744" s="4"/>
      <c r="M744" s="4"/>
      <c r="N744" s="4"/>
      <c r="O744" s="16"/>
      <c r="P744" s="19"/>
      <c r="Q744" s="5"/>
      <c r="S744" s="22"/>
    </row>
    <row r="745" spans="5:19" ht="12.75" x14ac:dyDescent="0.2">
      <c r="E745" s="7"/>
      <c r="G745" s="13"/>
      <c r="H745" s="4"/>
      <c r="I745" s="4"/>
      <c r="J745" s="4"/>
      <c r="K745" s="4"/>
      <c r="L745" s="4"/>
      <c r="M745" s="4"/>
      <c r="N745" s="4"/>
      <c r="O745" s="16"/>
      <c r="P745" s="19"/>
      <c r="Q745" s="5"/>
      <c r="S745" s="22"/>
    </row>
    <row r="746" spans="5:19" ht="12.75" x14ac:dyDescent="0.2">
      <c r="E746" s="7"/>
      <c r="G746" s="13"/>
      <c r="H746" s="4"/>
      <c r="I746" s="4"/>
      <c r="J746" s="4"/>
      <c r="K746" s="4"/>
      <c r="L746" s="4"/>
      <c r="M746" s="4"/>
      <c r="N746" s="4"/>
      <c r="O746" s="16"/>
      <c r="P746" s="19"/>
      <c r="Q746" s="5"/>
      <c r="S746" s="22"/>
    </row>
    <row r="747" spans="5:19" ht="12.75" x14ac:dyDescent="0.2">
      <c r="E747" s="7"/>
      <c r="G747" s="13"/>
      <c r="H747" s="4"/>
      <c r="I747" s="4"/>
      <c r="J747" s="4"/>
      <c r="K747" s="4"/>
      <c r="L747" s="4"/>
      <c r="M747" s="4"/>
      <c r="N747" s="4"/>
      <c r="O747" s="16"/>
      <c r="P747" s="19"/>
      <c r="Q747" s="5"/>
      <c r="S747" s="22"/>
    </row>
    <row r="748" spans="5:19" ht="12.75" x14ac:dyDescent="0.2">
      <c r="E748" s="7"/>
      <c r="G748" s="13"/>
      <c r="H748" s="4"/>
      <c r="I748" s="4"/>
      <c r="J748" s="4"/>
      <c r="K748" s="4"/>
      <c r="L748" s="4"/>
      <c r="M748" s="4"/>
      <c r="N748" s="4"/>
      <c r="O748" s="16"/>
      <c r="P748" s="19"/>
      <c r="Q748" s="5"/>
      <c r="S748" s="22"/>
    </row>
    <row r="749" spans="5:19" ht="12.75" x14ac:dyDescent="0.2">
      <c r="E749" s="7"/>
      <c r="G749" s="13"/>
      <c r="H749" s="4"/>
      <c r="I749" s="4"/>
      <c r="J749" s="4"/>
      <c r="K749" s="4"/>
      <c r="L749" s="4"/>
      <c r="M749" s="4"/>
      <c r="N749" s="4"/>
      <c r="O749" s="16"/>
      <c r="P749" s="19"/>
      <c r="Q749" s="5"/>
      <c r="S749" s="22"/>
    </row>
    <row r="750" spans="5:19" ht="12.75" x14ac:dyDescent="0.2">
      <c r="E750" s="7"/>
      <c r="G750" s="13"/>
      <c r="H750" s="4"/>
      <c r="I750" s="4"/>
      <c r="J750" s="4"/>
      <c r="K750" s="4"/>
      <c r="L750" s="4"/>
      <c r="M750" s="4"/>
      <c r="N750" s="4"/>
      <c r="O750" s="16"/>
      <c r="P750" s="19"/>
      <c r="Q750" s="5"/>
      <c r="S750" s="22"/>
    </row>
    <row r="751" spans="5:19" ht="12.75" x14ac:dyDescent="0.2">
      <c r="E751" s="7"/>
      <c r="G751" s="13"/>
      <c r="H751" s="4"/>
      <c r="I751" s="4"/>
      <c r="J751" s="4"/>
      <c r="K751" s="4"/>
      <c r="L751" s="4"/>
      <c r="M751" s="4"/>
      <c r="N751" s="4"/>
      <c r="O751" s="16"/>
      <c r="P751" s="19"/>
      <c r="Q751" s="5"/>
      <c r="S751" s="22"/>
    </row>
    <row r="752" spans="5:19" ht="12.75" x14ac:dyDescent="0.2">
      <c r="E752" s="7"/>
      <c r="G752" s="13"/>
      <c r="H752" s="4"/>
      <c r="I752" s="4"/>
      <c r="J752" s="4"/>
      <c r="K752" s="4"/>
      <c r="L752" s="4"/>
      <c r="M752" s="4"/>
      <c r="N752" s="4"/>
      <c r="O752" s="16"/>
      <c r="P752" s="19"/>
      <c r="Q752" s="5"/>
      <c r="S752" s="22"/>
    </row>
    <row r="753" spans="5:19" ht="12.75" x14ac:dyDescent="0.2">
      <c r="E753" s="7"/>
      <c r="G753" s="13"/>
      <c r="H753" s="4"/>
      <c r="I753" s="4"/>
      <c r="J753" s="4"/>
      <c r="K753" s="4"/>
      <c r="L753" s="4"/>
      <c r="M753" s="4"/>
      <c r="N753" s="4"/>
      <c r="O753" s="16"/>
      <c r="P753" s="19"/>
      <c r="Q753" s="5"/>
      <c r="S753" s="22"/>
    </row>
    <row r="754" spans="5:19" ht="12.75" x14ac:dyDescent="0.2">
      <c r="E754" s="7"/>
      <c r="G754" s="13"/>
      <c r="H754" s="4"/>
      <c r="I754" s="4"/>
      <c r="J754" s="4"/>
      <c r="K754" s="4"/>
      <c r="L754" s="4"/>
      <c r="M754" s="4"/>
      <c r="N754" s="4"/>
      <c r="O754" s="16"/>
      <c r="P754" s="19"/>
      <c r="Q754" s="5"/>
      <c r="S754" s="22"/>
    </row>
    <row r="755" spans="5:19" ht="12.75" x14ac:dyDescent="0.2">
      <c r="E755" s="7"/>
      <c r="G755" s="13"/>
      <c r="H755" s="4"/>
      <c r="I755" s="4"/>
      <c r="J755" s="4"/>
      <c r="K755" s="4"/>
      <c r="L755" s="4"/>
      <c r="M755" s="4"/>
      <c r="N755" s="4"/>
      <c r="O755" s="16"/>
      <c r="P755" s="19"/>
      <c r="Q755" s="5"/>
      <c r="S755" s="22"/>
    </row>
    <row r="756" spans="5:19" ht="12.75" x14ac:dyDescent="0.2">
      <c r="E756" s="7"/>
      <c r="G756" s="13"/>
      <c r="H756" s="4"/>
      <c r="I756" s="4"/>
      <c r="J756" s="4"/>
      <c r="K756" s="4"/>
      <c r="L756" s="4"/>
      <c r="M756" s="4"/>
      <c r="N756" s="4"/>
      <c r="O756" s="16"/>
      <c r="P756" s="19"/>
      <c r="Q756" s="5"/>
      <c r="S756" s="22"/>
    </row>
    <row r="757" spans="5:19" ht="12.75" x14ac:dyDescent="0.2">
      <c r="E757" s="7"/>
      <c r="G757" s="13"/>
      <c r="H757" s="4"/>
      <c r="I757" s="4"/>
      <c r="J757" s="4"/>
      <c r="K757" s="4"/>
      <c r="L757" s="4"/>
      <c r="M757" s="4"/>
      <c r="N757" s="4"/>
      <c r="O757" s="16"/>
      <c r="P757" s="19"/>
      <c r="Q757" s="5"/>
      <c r="S757" s="22"/>
    </row>
    <row r="758" spans="5:19" ht="12.75" x14ac:dyDescent="0.2">
      <c r="E758" s="7"/>
      <c r="G758" s="13"/>
      <c r="H758" s="4"/>
      <c r="I758" s="4"/>
      <c r="J758" s="4"/>
      <c r="K758" s="4"/>
      <c r="L758" s="4"/>
      <c r="M758" s="4"/>
      <c r="N758" s="4"/>
      <c r="O758" s="16"/>
      <c r="P758" s="19"/>
      <c r="Q758" s="5"/>
      <c r="S758" s="22"/>
    </row>
    <row r="759" spans="5:19" ht="12.75" x14ac:dyDescent="0.2">
      <c r="E759" s="7"/>
      <c r="G759" s="13"/>
      <c r="H759" s="4"/>
      <c r="I759" s="4"/>
      <c r="J759" s="4"/>
      <c r="K759" s="4"/>
      <c r="L759" s="4"/>
      <c r="M759" s="4"/>
      <c r="N759" s="4"/>
      <c r="O759" s="16"/>
      <c r="P759" s="19"/>
      <c r="Q759" s="5"/>
      <c r="S759" s="22"/>
    </row>
    <row r="760" spans="5:19" ht="12.75" x14ac:dyDescent="0.2">
      <c r="E760" s="7"/>
      <c r="G760" s="13"/>
      <c r="H760" s="4"/>
      <c r="I760" s="4"/>
      <c r="J760" s="4"/>
      <c r="K760" s="4"/>
      <c r="L760" s="4"/>
      <c r="M760" s="4"/>
      <c r="N760" s="4"/>
      <c r="O760" s="16"/>
      <c r="P760" s="19"/>
      <c r="Q760" s="5"/>
      <c r="S760" s="22"/>
    </row>
    <row r="761" spans="5:19" ht="12.75" x14ac:dyDescent="0.2">
      <c r="E761" s="7"/>
      <c r="G761" s="13"/>
      <c r="H761" s="4"/>
      <c r="I761" s="4"/>
      <c r="J761" s="4"/>
      <c r="K761" s="4"/>
      <c r="L761" s="4"/>
      <c r="M761" s="4"/>
      <c r="N761" s="4"/>
      <c r="O761" s="16"/>
      <c r="P761" s="19"/>
      <c r="Q761" s="5"/>
      <c r="S761" s="22"/>
    </row>
    <row r="762" spans="5:19" ht="12.75" x14ac:dyDescent="0.2">
      <c r="E762" s="7"/>
      <c r="G762" s="13"/>
      <c r="H762" s="4"/>
      <c r="I762" s="4"/>
      <c r="J762" s="4"/>
      <c r="K762" s="4"/>
      <c r="L762" s="4"/>
      <c r="M762" s="4"/>
      <c r="N762" s="4"/>
      <c r="O762" s="16"/>
      <c r="P762" s="19"/>
      <c r="Q762" s="5"/>
      <c r="S762" s="22"/>
    </row>
    <row r="763" spans="5:19" ht="12.75" x14ac:dyDescent="0.2">
      <c r="E763" s="7"/>
      <c r="G763" s="13"/>
      <c r="H763" s="4"/>
      <c r="I763" s="4"/>
      <c r="J763" s="4"/>
      <c r="K763" s="4"/>
      <c r="L763" s="4"/>
      <c r="M763" s="4"/>
      <c r="N763" s="4"/>
      <c r="O763" s="16"/>
      <c r="P763" s="19"/>
      <c r="Q763" s="5"/>
      <c r="S763" s="22"/>
    </row>
    <row r="764" spans="5:19" ht="12.75" x14ac:dyDescent="0.2">
      <c r="E764" s="7"/>
      <c r="G764" s="13"/>
      <c r="H764" s="4"/>
      <c r="I764" s="4"/>
      <c r="J764" s="4"/>
      <c r="K764" s="4"/>
      <c r="L764" s="4"/>
      <c r="M764" s="4"/>
      <c r="N764" s="4"/>
      <c r="O764" s="16"/>
      <c r="P764" s="19"/>
      <c r="Q764" s="5"/>
      <c r="S764" s="22"/>
    </row>
    <row r="765" spans="5:19" ht="12.75" x14ac:dyDescent="0.2">
      <c r="E765" s="7"/>
      <c r="G765" s="13"/>
      <c r="H765" s="4"/>
      <c r="I765" s="4"/>
      <c r="J765" s="4"/>
      <c r="K765" s="4"/>
      <c r="L765" s="4"/>
      <c r="M765" s="4"/>
      <c r="N765" s="4"/>
      <c r="O765" s="16"/>
      <c r="P765" s="19"/>
      <c r="Q765" s="5"/>
      <c r="S765" s="22"/>
    </row>
    <row r="766" spans="5:19" ht="12.75" x14ac:dyDescent="0.2">
      <c r="E766" s="7"/>
      <c r="G766" s="13"/>
      <c r="H766" s="4"/>
      <c r="I766" s="4"/>
      <c r="J766" s="4"/>
      <c r="K766" s="4"/>
      <c r="L766" s="4"/>
      <c r="M766" s="4"/>
      <c r="N766" s="4"/>
      <c r="O766" s="16"/>
      <c r="P766" s="19"/>
      <c r="Q766" s="5"/>
      <c r="S766" s="22"/>
    </row>
    <row r="767" spans="5:19" ht="12.75" x14ac:dyDescent="0.2">
      <c r="E767" s="7"/>
      <c r="G767" s="13"/>
      <c r="H767" s="4"/>
      <c r="I767" s="4"/>
      <c r="J767" s="4"/>
      <c r="K767" s="4"/>
      <c r="L767" s="4"/>
      <c r="M767" s="4"/>
      <c r="N767" s="4"/>
      <c r="O767" s="16"/>
      <c r="P767" s="19"/>
      <c r="Q767" s="5"/>
      <c r="S767" s="22"/>
    </row>
    <row r="768" spans="5:19" ht="12.75" x14ac:dyDescent="0.2">
      <c r="E768" s="7"/>
      <c r="G768" s="13"/>
      <c r="H768" s="4"/>
      <c r="I768" s="4"/>
      <c r="J768" s="4"/>
      <c r="K768" s="4"/>
      <c r="L768" s="4"/>
      <c r="M768" s="4"/>
      <c r="N768" s="4"/>
      <c r="O768" s="16"/>
      <c r="P768" s="19"/>
      <c r="Q768" s="5"/>
      <c r="S768" s="22"/>
    </row>
    <row r="769" spans="5:19" ht="12.75" x14ac:dyDescent="0.2">
      <c r="E769" s="7"/>
      <c r="G769" s="13"/>
      <c r="H769" s="4"/>
      <c r="I769" s="4"/>
      <c r="J769" s="4"/>
      <c r="K769" s="4"/>
      <c r="L769" s="4"/>
      <c r="M769" s="4"/>
      <c r="N769" s="4"/>
      <c r="O769" s="16"/>
      <c r="P769" s="19"/>
      <c r="Q769" s="5"/>
      <c r="S769" s="22"/>
    </row>
    <row r="770" spans="5:19" ht="12.75" x14ac:dyDescent="0.2">
      <c r="E770" s="7"/>
      <c r="G770" s="13"/>
      <c r="H770" s="4"/>
      <c r="I770" s="4"/>
      <c r="J770" s="4"/>
      <c r="K770" s="4"/>
      <c r="L770" s="4"/>
      <c r="M770" s="4"/>
      <c r="N770" s="4"/>
      <c r="O770" s="16"/>
      <c r="P770" s="19"/>
      <c r="Q770" s="5"/>
      <c r="S770" s="22"/>
    </row>
    <row r="771" spans="5:19" ht="12.75" x14ac:dyDescent="0.2">
      <c r="E771" s="7"/>
      <c r="G771" s="13"/>
      <c r="H771" s="4"/>
      <c r="I771" s="4"/>
      <c r="J771" s="4"/>
      <c r="K771" s="4"/>
      <c r="L771" s="4"/>
      <c r="M771" s="4"/>
      <c r="N771" s="4"/>
      <c r="O771" s="16"/>
      <c r="P771" s="19"/>
      <c r="Q771" s="5"/>
      <c r="S771" s="22"/>
    </row>
    <row r="772" spans="5:19" ht="12.75" x14ac:dyDescent="0.2">
      <c r="E772" s="7"/>
      <c r="G772" s="13"/>
      <c r="H772" s="4"/>
      <c r="I772" s="4"/>
      <c r="J772" s="4"/>
      <c r="K772" s="4"/>
      <c r="L772" s="4"/>
      <c r="M772" s="4"/>
      <c r="N772" s="4"/>
      <c r="O772" s="16"/>
      <c r="P772" s="19"/>
      <c r="Q772" s="5"/>
      <c r="S772" s="22"/>
    </row>
    <row r="773" spans="5:19" ht="12.75" x14ac:dyDescent="0.2">
      <c r="E773" s="7"/>
      <c r="G773" s="13"/>
      <c r="H773" s="4"/>
      <c r="I773" s="4"/>
      <c r="J773" s="4"/>
      <c r="K773" s="4"/>
      <c r="L773" s="4"/>
      <c r="M773" s="4"/>
      <c r="N773" s="4"/>
      <c r="O773" s="16"/>
      <c r="P773" s="19"/>
      <c r="Q773" s="5"/>
      <c r="S773" s="22"/>
    </row>
    <row r="774" spans="5:19" ht="12.75" x14ac:dyDescent="0.2">
      <c r="E774" s="7"/>
      <c r="G774" s="13"/>
      <c r="H774" s="4"/>
      <c r="I774" s="4"/>
      <c r="J774" s="4"/>
      <c r="K774" s="4"/>
      <c r="L774" s="4"/>
      <c r="M774" s="4"/>
      <c r="N774" s="4"/>
      <c r="O774" s="16"/>
      <c r="P774" s="19"/>
      <c r="Q774" s="5"/>
      <c r="S774" s="22"/>
    </row>
    <row r="775" spans="5:19" ht="12.75" x14ac:dyDescent="0.2">
      <c r="E775" s="7"/>
      <c r="G775" s="13"/>
      <c r="H775" s="4"/>
      <c r="I775" s="4"/>
      <c r="J775" s="4"/>
      <c r="K775" s="4"/>
      <c r="L775" s="4"/>
      <c r="M775" s="4"/>
      <c r="N775" s="4"/>
      <c r="O775" s="16"/>
      <c r="P775" s="19"/>
      <c r="Q775" s="5"/>
      <c r="S775" s="22"/>
    </row>
    <row r="776" spans="5:19" ht="12.75" x14ac:dyDescent="0.2">
      <c r="E776" s="7"/>
      <c r="G776" s="13"/>
      <c r="H776" s="4"/>
      <c r="I776" s="4"/>
      <c r="J776" s="4"/>
      <c r="K776" s="4"/>
      <c r="L776" s="4"/>
      <c r="M776" s="4"/>
      <c r="N776" s="4"/>
      <c r="O776" s="16"/>
      <c r="P776" s="19"/>
      <c r="Q776" s="5"/>
      <c r="S776" s="22"/>
    </row>
    <row r="777" spans="5:19" ht="12.75" x14ac:dyDescent="0.2">
      <c r="E777" s="7"/>
      <c r="G777" s="13"/>
      <c r="H777" s="4"/>
      <c r="I777" s="4"/>
      <c r="J777" s="4"/>
      <c r="K777" s="4"/>
      <c r="L777" s="4"/>
      <c r="M777" s="4"/>
      <c r="N777" s="4"/>
      <c r="O777" s="16"/>
      <c r="P777" s="19"/>
      <c r="Q777" s="5"/>
      <c r="S777" s="22"/>
    </row>
    <row r="778" spans="5:19" ht="12.75" x14ac:dyDescent="0.2">
      <c r="E778" s="7"/>
      <c r="G778" s="13"/>
      <c r="H778" s="4"/>
      <c r="I778" s="4"/>
      <c r="J778" s="4"/>
      <c r="K778" s="4"/>
      <c r="L778" s="4"/>
      <c r="M778" s="4"/>
      <c r="N778" s="4"/>
      <c r="O778" s="16"/>
      <c r="P778" s="19"/>
      <c r="Q778" s="5"/>
      <c r="S778" s="22"/>
    </row>
    <row r="779" spans="5:19" ht="12.75" x14ac:dyDescent="0.2">
      <c r="E779" s="7"/>
      <c r="G779" s="13"/>
      <c r="H779" s="4"/>
      <c r="I779" s="4"/>
      <c r="J779" s="4"/>
      <c r="K779" s="4"/>
      <c r="L779" s="4"/>
      <c r="M779" s="4"/>
      <c r="N779" s="4"/>
      <c r="O779" s="16"/>
      <c r="P779" s="19"/>
      <c r="Q779" s="5"/>
      <c r="S779" s="22"/>
    </row>
    <row r="780" spans="5:19" ht="12.75" x14ac:dyDescent="0.2">
      <c r="E780" s="7"/>
      <c r="G780" s="13"/>
      <c r="H780" s="4"/>
      <c r="I780" s="4"/>
      <c r="J780" s="4"/>
      <c r="K780" s="4"/>
      <c r="L780" s="4"/>
      <c r="M780" s="4"/>
      <c r="N780" s="4"/>
      <c r="O780" s="16"/>
      <c r="P780" s="19"/>
      <c r="Q780" s="5"/>
      <c r="S780" s="22"/>
    </row>
    <row r="781" spans="5:19" ht="12.75" x14ac:dyDescent="0.2">
      <c r="E781" s="7"/>
      <c r="G781" s="13"/>
      <c r="H781" s="4"/>
      <c r="I781" s="4"/>
      <c r="J781" s="4"/>
      <c r="K781" s="4"/>
      <c r="L781" s="4"/>
      <c r="M781" s="4"/>
      <c r="N781" s="4"/>
      <c r="O781" s="16"/>
      <c r="P781" s="19"/>
      <c r="Q781" s="5"/>
      <c r="S781" s="22"/>
    </row>
    <row r="782" spans="5:19" ht="12.75" x14ac:dyDescent="0.2">
      <c r="E782" s="7"/>
      <c r="G782" s="13"/>
      <c r="H782" s="4"/>
      <c r="I782" s="4"/>
      <c r="J782" s="4"/>
      <c r="K782" s="4"/>
      <c r="L782" s="4"/>
      <c r="M782" s="4"/>
      <c r="N782" s="4"/>
      <c r="O782" s="16"/>
      <c r="P782" s="19"/>
      <c r="Q782" s="5"/>
      <c r="S782" s="22"/>
    </row>
    <row r="783" spans="5:19" ht="12.75" x14ac:dyDescent="0.2">
      <c r="E783" s="7"/>
      <c r="G783" s="13"/>
      <c r="H783" s="4"/>
      <c r="I783" s="4"/>
      <c r="J783" s="4"/>
      <c r="K783" s="4"/>
      <c r="L783" s="4"/>
      <c r="M783" s="4"/>
      <c r="N783" s="4"/>
      <c r="O783" s="16"/>
      <c r="P783" s="19"/>
      <c r="Q783" s="5"/>
      <c r="S783" s="22"/>
    </row>
    <row r="784" spans="5:19" ht="12.75" x14ac:dyDescent="0.2">
      <c r="E784" s="7"/>
      <c r="G784" s="13"/>
      <c r="H784" s="4"/>
      <c r="I784" s="4"/>
      <c r="J784" s="4"/>
      <c r="K784" s="4"/>
      <c r="L784" s="4"/>
      <c r="M784" s="4"/>
      <c r="N784" s="4"/>
      <c r="O784" s="16"/>
      <c r="P784" s="19"/>
      <c r="Q784" s="5"/>
      <c r="S784" s="22"/>
    </row>
    <row r="785" spans="5:19" ht="12.75" x14ac:dyDescent="0.2">
      <c r="E785" s="7"/>
      <c r="G785" s="13"/>
      <c r="H785" s="4"/>
      <c r="I785" s="4"/>
      <c r="J785" s="4"/>
      <c r="K785" s="4"/>
      <c r="L785" s="4"/>
      <c r="M785" s="4"/>
      <c r="N785" s="4"/>
      <c r="O785" s="16"/>
      <c r="P785" s="19"/>
      <c r="Q785" s="5"/>
      <c r="S785" s="22"/>
    </row>
    <row r="786" spans="5:19" ht="12.75" x14ac:dyDescent="0.2">
      <c r="E786" s="7"/>
      <c r="G786" s="13"/>
      <c r="H786" s="4"/>
      <c r="I786" s="4"/>
      <c r="J786" s="4"/>
      <c r="K786" s="4"/>
      <c r="L786" s="4"/>
      <c r="M786" s="4"/>
      <c r="N786" s="4"/>
      <c r="O786" s="16"/>
      <c r="P786" s="19"/>
      <c r="Q786" s="5"/>
      <c r="S786" s="22"/>
    </row>
    <row r="787" spans="5:19" ht="12.75" x14ac:dyDescent="0.2">
      <c r="E787" s="7"/>
      <c r="G787" s="13"/>
      <c r="H787" s="4"/>
      <c r="I787" s="4"/>
      <c r="J787" s="4"/>
      <c r="K787" s="4"/>
      <c r="L787" s="4"/>
      <c r="M787" s="4"/>
      <c r="N787" s="4"/>
      <c r="O787" s="16"/>
      <c r="P787" s="19"/>
      <c r="Q787" s="5"/>
      <c r="S787" s="22"/>
    </row>
    <row r="788" spans="5:19" ht="12.75" x14ac:dyDescent="0.2">
      <c r="E788" s="7"/>
      <c r="G788" s="13"/>
      <c r="H788" s="4"/>
      <c r="I788" s="4"/>
      <c r="J788" s="4"/>
      <c r="K788" s="4"/>
      <c r="L788" s="4"/>
      <c r="M788" s="4"/>
      <c r="N788" s="4"/>
      <c r="O788" s="16"/>
      <c r="P788" s="19"/>
      <c r="Q788" s="5"/>
      <c r="S788" s="22"/>
    </row>
    <row r="789" spans="5:19" ht="12.75" x14ac:dyDescent="0.2">
      <c r="E789" s="7"/>
      <c r="G789" s="13"/>
      <c r="H789" s="4"/>
      <c r="I789" s="4"/>
      <c r="J789" s="4"/>
      <c r="K789" s="4"/>
      <c r="L789" s="4"/>
      <c r="M789" s="4"/>
      <c r="N789" s="4"/>
      <c r="O789" s="16"/>
      <c r="P789" s="19"/>
      <c r="Q789" s="5"/>
      <c r="S789" s="22"/>
    </row>
    <row r="790" spans="5:19" ht="12.75" x14ac:dyDescent="0.2">
      <c r="E790" s="7"/>
      <c r="G790" s="13"/>
      <c r="H790" s="4"/>
      <c r="I790" s="4"/>
      <c r="J790" s="4"/>
      <c r="K790" s="4"/>
      <c r="L790" s="4"/>
      <c r="M790" s="4"/>
      <c r="N790" s="4"/>
      <c r="O790" s="16"/>
      <c r="P790" s="19"/>
      <c r="Q790" s="5"/>
      <c r="S790" s="22"/>
    </row>
    <row r="791" spans="5:19" ht="12.75" x14ac:dyDescent="0.2">
      <c r="E791" s="7"/>
      <c r="G791" s="13"/>
      <c r="H791" s="4"/>
      <c r="I791" s="4"/>
      <c r="J791" s="4"/>
      <c r="K791" s="4"/>
      <c r="L791" s="4"/>
      <c r="M791" s="4"/>
      <c r="N791" s="4"/>
      <c r="O791" s="16"/>
      <c r="P791" s="19"/>
      <c r="Q791" s="5"/>
      <c r="S791" s="22"/>
    </row>
    <row r="792" spans="5:19" ht="12.75" x14ac:dyDescent="0.2">
      <c r="E792" s="7"/>
      <c r="G792" s="13"/>
      <c r="H792" s="4"/>
      <c r="I792" s="4"/>
      <c r="J792" s="4"/>
      <c r="K792" s="4"/>
      <c r="L792" s="4"/>
      <c r="M792" s="4"/>
      <c r="N792" s="4"/>
      <c r="O792" s="16"/>
      <c r="P792" s="19"/>
      <c r="Q792" s="5"/>
      <c r="S792" s="22"/>
    </row>
    <row r="793" spans="5:19" ht="12.75" x14ac:dyDescent="0.2">
      <c r="E793" s="7"/>
      <c r="G793" s="13"/>
      <c r="H793" s="4"/>
      <c r="I793" s="4"/>
      <c r="J793" s="4"/>
      <c r="K793" s="4"/>
      <c r="L793" s="4"/>
      <c r="M793" s="4"/>
      <c r="N793" s="4"/>
      <c r="O793" s="16"/>
      <c r="P793" s="19"/>
      <c r="Q793" s="5"/>
      <c r="S793" s="22"/>
    </row>
    <row r="794" spans="5:19" ht="12.75" x14ac:dyDescent="0.2">
      <c r="E794" s="7"/>
      <c r="G794" s="13"/>
      <c r="H794" s="4"/>
      <c r="I794" s="4"/>
      <c r="J794" s="4"/>
      <c r="K794" s="4"/>
      <c r="L794" s="4"/>
      <c r="M794" s="4"/>
      <c r="N794" s="4"/>
      <c r="O794" s="16"/>
      <c r="P794" s="19"/>
      <c r="Q794" s="5"/>
      <c r="S794" s="22"/>
    </row>
    <row r="795" spans="5:19" ht="12.75" x14ac:dyDescent="0.2">
      <c r="E795" s="7"/>
      <c r="G795" s="13"/>
      <c r="H795" s="4"/>
      <c r="I795" s="4"/>
      <c r="J795" s="4"/>
      <c r="K795" s="4"/>
      <c r="L795" s="4"/>
      <c r="M795" s="4"/>
      <c r="N795" s="4"/>
      <c r="O795" s="16"/>
      <c r="P795" s="19"/>
      <c r="Q795" s="5"/>
      <c r="S795" s="22"/>
    </row>
    <row r="796" spans="5:19" ht="12.75" x14ac:dyDescent="0.2">
      <c r="E796" s="7"/>
      <c r="G796" s="13"/>
      <c r="H796" s="4"/>
      <c r="I796" s="4"/>
      <c r="J796" s="4"/>
      <c r="K796" s="4"/>
      <c r="L796" s="4"/>
      <c r="M796" s="4"/>
      <c r="N796" s="4"/>
      <c r="O796" s="16"/>
      <c r="P796" s="19"/>
      <c r="Q796" s="5"/>
      <c r="S796" s="22"/>
    </row>
    <row r="797" spans="5:19" ht="12.75" x14ac:dyDescent="0.2">
      <c r="E797" s="7"/>
      <c r="G797" s="13"/>
      <c r="H797" s="4"/>
      <c r="I797" s="4"/>
      <c r="J797" s="4"/>
      <c r="K797" s="4"/>
      <c r="L797" s="4"/>
      <c r="M797" s="4"/>
      <c r="N797" s="4"/>
      <c r="O797" s="16"/>
      <c r="P797" s="19"/>
      <c r="Q797" s="5"/>
      <c r="S797" s="22"/>
    </row>
    <row r="798" spans="5:19" ht="12.75" x14ac:dyDescent="0.2">
      <c r="E798" s="7"/>
      <c r="G798" s="13"/>
      <c r="H798" s="4"/>
      <c r="I798" s="4"/>
      <c r="J798" s="4"/>
      <c r="K798" s="4"/>
      <c r="L798" s="4"/>
      <c r="M798" s="4"/>
      <c r="N798" s="4"/>
      <c r="O798" s="16"/>
      <c r="P798" s="19"/>
      <c r="Q798" s="5"/>
      <c r="S798" s="22"/>
    </row>
    <row r="799" spans="5:19" ht="12.75" x14ac:dyDescent="0.2">
      <c r="E799" s="7"/>
      <c r="G799" s="13"/>
      <c r="H799" s="4"/>
      <c r="I799" s="4"/>
      <c r="J799" s="4"/>
      <c r="K799" s="4"/>
      <c r="L799" s="4"/>
      <c r="M799" s="4"/>
      <c r="N799" s="4"/>
      <c r="O799" s="16"/>
      <c r="P799" s="19"/>
      <c r="Q799" s="5"/>
      <c r="S799" s="22"/>
    </row>
    <row r="800" spans="5:19" ht="12.75" x14ac:dyDescent="0.2">
      <c r="E800" s="7"/>
      <c r="G800" s="13"/>
      <c r="H800" s="4"/>
      <c r="I800" s="4"/>
      <c r="J800" s="4"/>
      <c r="K800" s="4"/>
      <c r="L800" s="4"/>
      <c r="M800" s="4"/>
      <c r="N800" s="4"/>
      <c r="O800" s="16"/>
      <c r="P800" s="19"/>
      <c r="Q800" s="5"/>
      <c r="S800" s="22"/>
    </row>
    <row r="801" spans="5:19" ht="12.75" x14ac:dyDescent="0.2">
      <c r="E801" s="7"/>
      <c r="G801" s="13"/>
      <c r="H801" s="4"/>
      <c r="I801" s="4"/>
      <c r="J801" s="4"/>
      <c r="K801" s="4"/>
      <c r="L801" s="4"/>
      <c r="M801" s="4"/>
      <c r="N801" s="4"/>
      <c r="O801" s="16"/>
      <c r="P801" s="19"/>
      <c r="Q801" s="5"/>
      <c r="S801" s="22"/>
    </row>
    <row r="802" spans="5:19" ht="12.75" x14ac:dyDescent="0.2">
      <c r="E802" s="7"/>
      <c r="G802" s="13"/>
      <c r="H802" s="4"/>
      <c r="I802" s="4"/>
      <c r="J802" s="4"/>
      <c r="K802" s="4"/>
      <c r="L802" s="4"/>
      <c r="M802" s="4"/>
      <c r="N802" s="4"/>
      <c r="O802" s="16"/>
      <c r="P802" s="19"/>
      <c r="Q802" s="5"/>
      <c r="S802" s="22"/>
    </row>
    <row r="803" spans="5:19" ht="12.75" x14ac:dyDescent="0.2">
      <c r="E803" s="7"/>
      <c r="G803" s="13"/>
      <c r="H803" s="4"/>
      <c r="I803" s="4"/>
      <c r="J803" s="4"/>
      <c r="K803" s="4"/>
      <c r="L803" s="4"/>
      <c r="M803" s="4"/>
      <c r="N803" s="4"/>
      <c r="O803" s="16"/>
      <c r="P803" s="19"/>
      <c r="Q803" s="5"/>
      <c r="S803" s="22"/>
    </row>
    <row r="804" spans="5:19" ht="12.75" x14ac:dyDescent="0.2">
      <c r="E804" s="7"/>
      <c r="G804" s="13"/>
      <c r="H804" s="4"/>
      <c r="I804" s="4"/>
      <c r="J804" s="4"/>
      <c r="K804" s="4"/>
      <c r="L804" s="4"/>
      <c r="M804" s="4"/>
      <c r="N804" s="4"/>
      <c r="O804" s="16"/>
      <c r="P804" s="19"/>
      <c r="Q804" s="5"/>
      <c r="S804" s="22"/>
    </row>
    <row r="805" spans="5:19" ht="12.75" x14ac:dyDescent="0.2">
      <c r="E805" s="7"/>
      <c r="G805" s="13"/>
      <c r="H805" s="4"/>
      <c r="I805" s="4"/>
      <c r="J805" s="4"/>
      <c r="K805" s="4"/>
      <c r="L805" s="4"/>
      <c r="M805" s="4"/>
      <c r="N805" s="4"/>
      <c r="O805" s="16"/>
      <c r="P805" s="19"/>
      <c r="Q805" s="5"/>
      <c r="S805" s="22"/>
    </row>
    <row r="806" spans="5:19" ht="12.75" x14ac:dyDescent="0.2">
      <c r="E806" s="7"/>
      <c r="G806" s="13"/>
      <c r="H806" s="4"/>
      <c r="I806" s="4"/>
      <c r="J806" s="4"/>
      <c r="K806" s="4"/>
      <c r="L806" s="4"/>
      <c r="M806" s="4"/>
      <c r="N806" s="4"/>
      <c r="O806" s="16"/>
      <c r="P806" s="19"/>
      <c r="Q806" s="5"/>
      <c r="S806" s="22"/>
    </row>
    <row r="807" spans="5:19" ht="12.75" x14ac:dyDescent="0.2">
      <c r="E807" s="7"/>
      <c r="G807" s="13"/>
      <c r="H807" s="4"/>
      <c r="I807" s="4"/>
      <c r="J807" s="4"/>
      <c r="K807" s="4"/>
      <c r="L807" s="4"/>
      <c r="M807" s="4"/>
      <c r="N807" s="4"/>
      <c r="O807" s="16"/>
      <c r="P807" s="19"/>
      <c r="Q807" s="5"/>
      <c r="S807" s="22"/>
    </row>
    <row r="808" spans="5:19" ht="12.75" x14ac:dyDescent="0.2">
      <c r="E808" s="7"/>
      <c r="G808" s="13"/>
      <c r="H808" s="4"/>
      <c r="I808" s="4"/>
      <c r="J808" s="4"/>
      <c r="K808" s="4"/>
      <c r="L808" s="4"/>
      <c r="M808" s="4"/>
      <c r="N808" s="4"/>
      <c r="O808" s="16"/>
      <c r="P808" s="19"/>
      <c r="Q808" s="5"/>
      <c r="S808" s="22"/>
    </row>
    <row r="809" spans="5:19" ht="12.75" x14ac:dyDescent="0.2">
      <c r="E809" s="7"/>
      <c r="G809" s="13"/>
      <c r="H809" s="4"/>
      <c r="I809" s="4"/>
      <c r="J809" s="4"/>
      <c r="K809" s="4"/>
      <c r="L809" s="4"/>
      <c r="M809" s="4"/>
      <c r="N809" s="4"/>
      <c r="O809" s="16"/>
      <c r="P809" s="19"/>
      <c r="Q809" s="5"/>
      <c r="S809" s="22"/>
    </row>
    <row r="810" spans="5:19" ht="12.75" x14ac:dyDescent="0.2">
      <c r="E810" s="7"/>
      <c r="G810" s="13"/>
      <c r="H810" s="4"/>
      <c r="I810" s="4"/>
      <c r="J810" s="4"/>
      <c r="K810" s="4"/>
      <c r="L810" s="4"/>
      <c r="M810" s="4"/>
      <c r="N810" s="4"/>
      <c r="O810" s="16"/>
      <c r="P810" s="19"/>
      <c r="Q810" s="5"/>
      <c r="S810" s="22"/>
    </row>
    <row r="811" spans="5:19" ht="12.75" x14ac:dyDescent="0.2">
      <c r="E811" s="7"/>
      <c r="G811" s="13"/>
      <c r="H811" s="4"/>
      <c r="I811" s="4"/>
      <c r="J811" s="4"/>
      <c r="K811" s="4"/>
      <c r="L811" s="4"/>
      <c r="M811" s="4"/>
      <c r="N811" s="4"/>
      <c r="O811" s="16"/>
      <c r="P811" s="19"/>
      <c r="Q811" s="5"/>
      <c r="S811" s="22"/>
    </row>
    <row r="812" spans="5:19" ht="12.75" x14ac:dyDescent="0.2">
      <c r="E812" s="7"/>
      <c r="G812" s="13"/>
      <c r="H812" s="4"/>
      <c r="I812" s="4"/>
      <c r="J812" s="4"/>
      <c r="K812" s="4"/>
      <c r="L812" s="4"/>
      <c r="M812" s="4"/>
      <c r="N812" s="4"/>
      <c r="O812" s="16"/>
      <c r="P812" s="19"/>
      <c r="Q812" s="5"/>
      <c r="S812" s="22"/>
    </row>
    <row r="813" spans="5:19" ht="12.75" x14ac:dyDescent="0.2">
      <c r="E813" s="7"/>
      <c r="G813" s="13"/>
      <c r="H813" s="4"/>
      <c r="I813" s="4"/>
      <c r="J813" s="4"/>
      <c r="K813" s="4"/>
      <c r="L813" s="4"/>
      <c r="M813" s="4"/>
      <c r="N813" s="4"/>
      <c r="O813" s="16"/>
      <c r="P813" s="19"/>
      <c r="Q813" s="5"/>
      <c r="S813" s="22"/>
    </row>
    <row r="814" spans="5:19" ht="12.75" x14ac:dyDescent="0.2">
      <c r="E814" s="7"/>
      <c r="G814" s="13"/>
      <c r="H814" s="4"/>
      <c r="I814" s="4"/>
      <c r="J814" s="4"/>
      <c r="K814" s="4"/>
      <c r="L814" s="4"/>
      <c r="M814" s="4"/>
      <c r="N814" s="4"/>
      <c r="O814" s="16"/>
      <c r="P814" s="19"/>
      <c r="Q814" s="5"/>
      <c r="S814" s="22"/>
    </row>
    <row r="815" spans="5:19" ht="12.75" x14ac:dyDescent="0.2">
      <c r="E815" s="7"/>
      <c r="G815" s="13"/>
      <c r="H815" s="4"/>
      <c r="I815" s="4"/>
      <c r="J815" s="4"/>
      <c r="K815" s="4"/>
      <c r="L815" s="4"/>
      <c r="M815" s="4"/>
      <c r="N815" s="4"/>
      <c r="O815" s="16"/>
      <c r="P815" s="19"/>
      <c r="Q815" s="5"/>
      <c r="S815" s="22"/>
    </row>
    <row r="816" spans="5:19" ht="12.75" x14ac:dyDescent="0.2">
      <c r="E816" s="7"/>
      <c r="G816" s="13"/>
      <c r="H816" s="4"/>
      <c r="I816" s="4"/>
      <c r="J816" s="4"/>
      <c r="K816" s="4"/>
      <c r="L816" s="4"/>
      <c r="M816" s="4"/>
      <c r="N816" s="4"/>
      <c r="O816" s="16"/>
      <c r="P816" s="19"/>
      <c r="Q816" s="5"/>
      <c r="S816" s="22"/>
    </row>
    <row r="817" spans="5:19" ht="12.75" x14ac:dyDescent="0.2">
      <c r="E817" s="7"/>
      <c r="G817" s="13"/>
      <c r="H817" s="4"/>
      <c r="I817" s="4"/>
      <c r="J817" s="4"/>
      <c r="K817" s="4"/>
      <c r="L817" s="4"/>
      <c r="M817" s="4"/>
      <c r="N817" s="4"/>
      <c r="O817" s="16"/>
      <c r="P817" s="19"/>
      <c r="Q817" s="5"/>
      <c r="S817" s="22"/>
    </row>
    <row r="818" spans="5:19" ht="12.75" x14ac:dyDescent="0.2">
      <c r="E818" s="7"/>
      <c r="G818" s="13"/>
      <c r="H818" s="4"/>
      <c r="I818" s="4"/>
      <c r="J818" s="4"/>
      <c r="K818" s="4"/>
      <c r="L818" s="4"/>
      <c r="M818" s="4"/>
      <c r="N818" s="4"/>
      <c r="O818" s="16"/>
      <c r="P818" s="19"/>
      <c r="Q818" s="5"/>
      <c r="S818" s="22"/>
    </row>
    <row r="819" spans="5:19" ht="12.75" x14ac:dyDescent="0.2">
      <c r="E819" s="7"/>
      <c r="G819" s="13"/>
      <c r="H819" s="4"/>
      <c r="I819" s="4"/>
      <c r="J819" s="4"/>
      <c r="K819" s="4"/>
      <c r="L819" s="4"/>
      <c r="M819" s="4"/>
      <c r="N819" s="4"/>
      <c r="O819" s="16"/>
      <c r="P819" s="19"/>
      <c r="Q819" s="5"/>
      <c r="S819" s="22"/>
    </row>
    <row r="820" spans="5:19" ht="12.75" x14ac:dyDescent="0.2">
      <c r="E820" s="7"/>
      <c r="G820" s="13"/>
      <c r="H820" s="4"/>
      <c r="I820" s="4"/>
      <c r="J820" s="4"/>
      <c r="K820" s="4"/>
      <c r="L820" s="4"/>
      <c r="M820" s="4"/>
      <c r="N820" s="4"/>
      <c r="O820" s="16"/>
      <c r="P820" s="19"/>
      <c r="Q820" s="5"/>
      <c r="S820" s="22"/>
    </row>
    <row r="821" spans="5:19" ht="12.75" x14ac:dyDescent="0.2">
      <c r="E821" s="7"/>
      <c r="G821" s="13"/>
      <c r="H821" s="4"/>
      <c r="I821" s="4"/>
      <c r="J821" s="4"/>
      <c r="K821" s="4"/>
      <c r="L821" s="4"/>
      <c r="M821" s="4"/>
      <c r="N821" s="4"/>
      <c r="O821" s="16"/>
      <c r="P821" s="19"/>
      <c r="Q821" s="5"/>
      <c r="S821" s="22"/>
    </row>
    <row r="822" spans="5:19" ht="12.75" x14ac:dyDescent="0.2">
      <c r="E822" s="7"/>
      <c r="G822" s="13"/>
      <c r="H822" s="4"/>
      <c r="I822" s="4"/>
      <c r="J822" s="4"/>
      <c r="K822" s="4"/>
      <c r="L822" s="4"/>
      <c r="M822" s="4"/>
      <c r="N822" s="4"/>
      <c r="O822" s="16"/>
      <c r="P822" s="19"/>
      <c r="Q822" s="5"/>
      <c r="S822" s="22"/>
    </row>
    <row r="823" spans="5:19" ht="12.75" x14ac:dyDescent="0.2">
      <c r="E823" s="7"/>
      <c r="G823" s="13"/>
      <c r="H823" s="4"/>
      <c r="I823" s="4"/>
      <c r="J823" s="4"/>
      <c r="K823" s="4"/>
      <c r="L823" s="4"/>
      <c r="M823" s="4"/>
      <c r="N823" s="4"/>
      <c r="O823" s="16"/>
      <c r="P823" s="19"/>
      <c r="Q823" s="5"/>
      <c r="S823" s="22"/>
    </row>
    <row r="824" spans="5:19" ht="12.75" x14ac:dyDescent="0.2">
      <c r="E824" s="7"/>
      <c r="G824" s="13"/>
      <c r="H824" s="4"/>
      <c r="I824" s="4"/>
      <c r="J824" s="4"/>
      <c r="K824" s="4"/>
      <c r="L824" s="4"/>
      <c r="M824" s="4"/>
      <c r="N824" s="4"/>
      <c r="O824" s="16"/>
      <c r="P824" s="19"/>
      <c r="Q824" s="5"/>
      <c r="S824" s="22"/>
    </row>
    <row r="825" spans="5:19" ht="12.75" x14ac:dyDescent="0.2">
      <c r="E825" s="7"/>
      <c r="G825" s="13"/>
      <c r="H825" s="4"/>
      <c r="I825" s="4"/>
      <c r="J825" s="4"/>
      <c r="K825" s="4"/>
      <c r="L825" s="4"/>
      <c r="M825" s="4"/>
      <c r="N825" s="4"/>
      <c r="O825" s="16"/>
      <c r="P825" s="19"/>
      <c r="Q825" s="5"/>
      <c r="S825" s="22"/>
    </row>
    <row r="826" spans="5:19" ht="12.75" x14ac:dyDescent="0.2">
      <c r="E826" s="7"/>
      <c r="G826" s="13"/>
      <c r="H826" s="4"/>
      <c r="I826" s="4"/>
      <c r="J826" s="4"/>
      <c r="K826" s="4"/>
      <c r="L826" s="4"/>
      <c r="M826" s="4"/>
      <c r="N826" s="4"/>
      <c r="O826" s="16"/>
      <c r="P826" s="19"/>
      <c r="Q826" s="5"/>
      <c r="S826" s="22"/>
    </row>
    <row r="827" spans="5:19" ht="12.75" x14ac:dyDescent="0.2">
      <c r="E827" s="7"/>
      <c r="G827" s="13"/>
      <c r="H827" s="4"/>
      <c r="I827" s="4"/>
      <c r="J827" s="4"/>
      <c r="K827" s="4"/>
      <c r="L827" s="4"/>
      <c r="M827" s="4"/>
      <c r="N827" s="4"/>
      <c r="O827" s="16"/>
      <c r="P827" s="19"/>
      <c r="Q827" s="5"/>
      <c r="S827" s="22"/>
    </row>
    <row r="828" spans="5:19" ht="12.75" x14ac:dyDescent="0.2">
      <c r="E828" s="7"/>
      <c r="G828" s="13"/>
      <c r="H828" s="4"/>
      <c r="I828" s="4"/>
      <c r="J828" s="4"/>
      <c r="K828" s="4"/>
      <c r="L828" s="4"/>
      <c r="M828" s="4"/>
      <c r="N828" s="4"/>
      <c r="O828" s="16"/>
      <c r="P828" s="19"/>
      <c r="Q828" s="5"/>
      <c r="S828" s="22"/>
    </row>
    <row r="829" spans="5:19" ht="12.75" x14ac:dyDescent="0.2">
      <c r="E829" s="7"/>
      <c r="G829" s="13"/>
      <c r="H829" s="4"/>
      <c r="I829" s="4"/>
      <c r="J829" s="4"/>
      <c r="K829" s="4"/>
      <c r="L829" s="4"/>
      <c r="M829" s="4"/>
      <c r="N829" s="4"/>
      <c r="O829" s="16"/>
      <c r="P829" s="19"/>
      <c r="Q829" s="5"/>
      <c r="S829" s="22"/>
    </row>
    <row r="830" spans="5:19" ht="12.75" x14ac:dyDescent="0.2">
      <c r="E830" s="7"/>
      <c r="G830" s="13"/>
      <c r="H830" s="4"/>
      <c r="I830" s="4"/>
      <c r="J830" s="4"/>
      <c r="K830" s="4"/>
      <c r="L830" s="4"/>
      <c r="M830" s="4"/>
      <c r="N830" s="4"/>
      <c r="O830" s="16"/>
      <c r="P830" s="19"/>
      <c r="Q830" s="5"/>
      <c r="S830" s="22"/>
    </row>
    <row r="831" spans="5:19" ht="12.75" x14ac:dyDescent="0.2">
      <c r="E831" s="7"/>
      <c r="G831" s="13"/>
      <c r="H831" s="4"/>
      <c r="I831" s="4"/>
      <c r="J831" s="4"/>
      <c r="K831" s="4"/>
      <c r="L831" s="4"/>
      <c r="M831" s="4"/>
      <c r="N831" s="4"/>
      <c r="O831" s="16"/>
      <c r="P831" s="19"/>
      <c r="Q831" s="5"/>
      <c r="S831" s="22"/>
    </row>
    <row r="832" spans="5:19" ht="12.75" x14ac:dyDescent="0.2">
      <c r="E832" s="7"/>
      <c r="G832" s="13"/>
      <c r="H832" s="4"/>
      <c r="I832" s="4"/>
      <c r="J832" s="4"/>
      <c r="K832" s="4"/>
      <c r="L832" s="4"/>
      <c r="M832" s="4"/>
      <c r="N832" s="4"/>
      <c r="O832" s="16"/>
      <c r="P832" s="19"/>
      <c r="Q832" s="5"/>
      <c r="S832" s="22"/>
    </row>
    <row r="833" spans="5:19" ht="12.75" x14ac:dyDescent="0.2">
      <c r="E833" s="7"/>
      <c r="G833" s="13"/>
      <c r="H833" s="4"/>
      <c r="I833" s="4"/>
      <c r="J833" s="4"/>
      <c r="K833" s="4"/>
      <c r="L833" s="4"/>
      <c r="M833" s="4"/>
      <c r="N833" s="4"/>
      <c r="O833" s="16"/>
      <c r="P833" s="19"/>
      <c r="Q833" s="5"/>
      <c r="S833" s="22"/>
    </row>
    <row r="834" spans="5:19" ht="12.75" x14ac:dyDescent="0.2">
      <c r="E834" s="7"/>
      <c r="G834" s="13"/>
      <c r="H834" s="4"/>
      <c r="I834" s="4"/>
      <c r="J834" s="4"/>
      <c r="K834" s="4"/>
      <c r="L834" s="4"/>
      <c r="M834" s="4"/>
      <c r="N834" s="4"/>
      <c r="O834" s="16"/>
      <c r="P834" s="19"/>
      <c r="Q834" s="5"/>
      <c r="S834" s="22"/>
    </row>
    <row r="835" spans="5:19" ht="12.75" x14ac:dyDescent="0.2">
      <c r="E835" s="7"/>
      <c r="G835" s="13"/>
      <c r="H835" s="4"/>
      <c r="I835" s="4"/>
      <c r="J835" s="4"/>
      <c r="K835" s="4"/>
      <c r="L835" s="4"/>
      <c r="M835" s="4"/>
      <c r="N835" s="4"/>
      <c r="O835" s="16"/>
      <c r="P835" s="19"/>
      <c r="Q835" s="5"/>
      <c r="S835" s="22"/>
    </row>
    <row r="836" spans="5:19" ht="12.75" x14ac:dyDescent="0.2">
      <c r="E836" s="7"/>
      <c r="G836" s="13"/>
      <c r="H836" s="4"/>
      <c r="I836" s="4"/>
      <c r="J836" s="4"/>
      <c r="K836" s="4"/>
      <c r="L836" s="4"/>
      <c r="M836" s="4"/>
      <c r="N836" s="4"/>
      <c r="O836" s="16"/>
      <c r="P836" s="19"/>
      <c r="Q836" s="5"/>
      <c r="S836" s="22"/>
    </row>
    <row r="837" spans="5:19" ht="12.75" x14ac:dyDescent="0.2">
      <c r="E837" s="7"/>
      <c r="G837" s="13"/>
      <c r="H837" s="4"/>
      <c r="I837" s="4"/>
      <c r="J837" s="4"/>
      <c r="K837" s="4"/>
      <c r="L837" s="4"/>
      <c r="M837" s="4"/>
      <c r="N837" s="4"/>
      <c r="O837" s="16"/>
      <c r="P837" s="19"/>
      <c r="Q837" s="5"/>
      <c r="S837" s="22"/>
    </row>
    <row r="838" spans="5:19" ht="12.75" x14ac:dyDescent="0.2">
      <c r="E838" s="7"/>
      <c r="G838" s="13"/>
      <c r="H838" s="4"/>
      <c r="I838" s="4"/>
      <c r="J838" s="4"/>
      <c r="K838" s="4"/>
      <c r="L838" s="4"/>
      <c r="M838" s="4"/>
      <c r="N838" s="4"/>
      <c r="O838" s="16"/>
      <c r="P838" s="19"/>
      <c r="Q838" s="5"/>
      <c r="S838" s="22"/>
    </row>
    <row r="839" spans="5:19" ht="12.75" x14ac:dyDescent="0.2">
      <c r="E839" s="7"/>
      <c r="G839" s="13"/>
      <c r="H839" s="4"/>
      <c r="I839" s="4"/>
      <c r="J839" s="4"/>
      <c r="K839" s="4"/>
      <c r="L839" s="4"/>
      <c r="M839" s="4"/>
      <c r="N839" s="4"/>
      <c r="O839" s="16"/>
      <c r="P839" s="19"/>
      <c r="Q839" s="5"/>
      <c r="S839" s="22"/>
    </row>
    <row r="840" spans="5:19" ht="12.75" x14ac:dyDescent="0.2">
      <c r="E840" s="7"/>
      <c r="G840" s="13"/>
      <c r="H840" s="4"/>
      <c r="I840" s="4"/>
      <c r="J840" s="4"/>
      <c r="K840" s="4"/>
      <c r="L840" s="4"/>
      <c r="M840" s="4"/>
      <c r="N840" s="4"/>
      <c r="O840" s="16"/>
      <c r="P840" s="19"/>
      <c r="Q840" s="5"/>
      <c r="S840" s="22"/>
    </row>
    <row r="841" spans="5:19" ht="12.75" x14ac:dyDescent="0.2">
      <c r="E841" s="7"/>
      <c r="G841" s="13"/>
      <c r="H841" s="4"/>
      <c r="I841" s="4"/>
      <c r="J841" s="4"/>
      <c r="K841" s="4"/>
      <c r="L841" s="4"/>
      <c r="M841" s="4"/>
      <c r="N841" s="4"/>
      <c r="O841" s="16"/>
      <c r="P841" s="19"/>
      <c r="Q841" s="5"/>
      <c r="S841" s="22"/>
    </row>
    <row r="842" spans="5:19" ht="12.75" x14ac:dyDescent="0.2">
      <c r="E842" s="7"/>
      <c r="G842" s="13"/>
      <c r="H842" s="4"/>
      <c r="I842" s="4"/>
      <c r="J842" s="4"/>
      <c r="K842" s="4"/>
      <c r="L842" s="4"/>
      <c r="M842" s="4"/>
      <c r="N842" s="4"/>
      <c r="O842" s="16"/>
      <c r="P842" s="19"/>
      <c r="Q842" s="5"/>
      <c r="S842" s="22"/>
    </row>
    <row r="843" spans="5:19" ht="12.75" x14ac:dyDescent="0.2">
      <c r="E843" s="7"/>
      <c r="G843" s="13"/>
      <c r="H843" s="4"/>
      <c r="I843" s="4"/>
      <c r="J843" s="4"/>
      <c r="K843" s="4"/>
      <c r="L843" s="4"/>
      <c r="M843" s="4"/>
      <c r="N843" s="4"/>
      <c r="O843" s="16"/>
      <c r="P843" s="19"/>
      <c r="Q843" s="5"/>
      <c r="S843" s="22"/>
    </row>
    <row r="844" spans="5:19" ht="12.75" x14ac:dyDescent="0.2">
      <c r="E844" s="7"/>
      <c r="G844" s="13"/>
      <c r="H844" s="4"/>
      <c r="I844" s="4"/>
      <c r="J844" s="4"/>
      <c r="K844" s="4"/>
      <c r="L844" s="4"/>
      <c r="M844" s="4"/>
      <c r="N844" s="4"/>
      <c r="O844" s="16"/>
      <c r="P844" s="19"/>
      <c r="Q844" s="5"/>
      <c r="S844" s="22"/>
    </row>
    <row r="845" spans="5:19" ht="12.75" x14ac:dyDescent="0.2">
      <c r="E845" s="7"/>
      <c r="G845" s="13"/>
      <c r="H845" s="4"/>
      <c r="I845" s="4"/>
      <c r="J845" s="4"/>
      <c r="K845" s="4"/>
      <c r="L845" s="4"/>
      <c r="M845" s="4"/>
      <c r="N845" s="4"/>
      <c r="O845" s="16"/>
      <c r="P845" s="19"/>
      <c r="Q845" s="5"/>
      <c r="S845" s="22"/>
    </row>
    <row r="846" spans="5:19" ht="12.75" x14ac:dyDescent="0.2">
      <c r="E846" s="7"/>
      <c r="G846" s="13"/>
      <c r="H846" s="4"/>
      <c r="I846" s="4"/>
      <c r="J846" s="4"/>
      <c r="K846" s="4"/>
      <c r="L846" s="4"/>
      <c r="M846" s="4"/>
      <c r="N846" s="4"/>
      <c r="O846" s="16"/>
      <c r="P846" s="19"/>
      <c r="Q846" s="5"/>
      <c r="S846" s="22"/>
    </row>
    <row r="847" spans="5:19" ht="12.75" x14ac:dyDescent="0.2">
      <c r="E847" s="7"/>
      <c r="G847" s="13"/>
      <c r="H847" s="4"/>
      <c r="I847" s="4"/>
      <c r="J847" s="4"/>
      <c r="K847" s="4"/>
      <c r="L847" s="4"/>
      <c r="M847" s="4"/>
      <c r="N847" s="4"/>
      <c r="O847" s="16"/>
      <c r="P847" s="19"/>
      <c r="Q847" s="5"/>
      <c r="S847" s="22"/>
    </row>
    <row r="848" spans="5:19" ht="12.75" x14ac:dyDescent="0.2">
      <c r="E848" s="7"/>
      <c r="G848" s="13"/>
      <c r="H848" s="4"/>
      <c r="I848" s="4"/>
      <c r="J848" s="4"/>
      <c r="K848" s="4"/>
      <c r="L848" s="4"/>
      <c r="M848" s="4"/>
      <c r="N848" s="4"/>
      <c r="O848" s="16"/>
      <c r="P848" s="19"/>
      <c r="Q848" s="5"/>
      <c r="S848" s="22"/>
    </row>
    <row r="849" spans="5:19" ht="12.75" x14ac:dyDescent="0.2">
      <c r="E849" s="7"/>
      <c r="G849" s="13"/>
      <c r="H849" s="4"/>
      <c r="I849" s="4"/>
      <c r="J849" s="4"/>
      <c r="K849" s="4"/>
      <c r="L849" s="4"/>
      <c r="M849" s="4"/>
      <c r="N849" s="4"/>
      <c r="O849" s="16"/>
      <c r="P849" s="19"/>
      <c r="Q849" s="5"/>
      <c r="S849" s="22"/>
    </row>
    <row r="850" spans="5:19" ht="12.75" x14ac:dyDescent="0.2">
      <c r="E850" s="7"/>
      <c r="G850" s="13"/>
      <c r="H850" s="4"/>
      <c r="I850" s="4"/>
      <c r="J850" s="4"/>
      <c r="K850" s="4"/>
      <c r="L850" s="4"/>
      <c r="M850" s="4"/>
      <c r="N850" s="4"/>
      <c r="O850" s="16"/>
      <c r="P850" s="19"/>
      <c r="Q850" s="5"/>
      <c r="S850" s="22"/>
    </row>
    <row r="851" spans="5:19" ht="12.75" x14ac:dyDescent="0.2">
      <c r="E851" s="7"/>
      <c r="G851" s="13"/>
      <c r="H851" s="4"/>
      <c r="I851" s="4"/>
      <c r="J851" s="4"/>
      <c r="K851" s="4"/>
      <c r="L851" s="4"/>
      <c r="M851" s="4"/>
      <c r="N851" s="4"/>
      <c r="O851" s="16"/>
      <c r="P851" s="19"/>
      <c r="Q851" s="5"/>
      <c r="S851" s="22"/>
    </row>
    <row r="852" spans="5:19" ht="12.75" x14ac:dyDescent="0.2">
      <c r="E852" s="7"/>
      <c r="G852" s="13"/>
      <c r="H852" s="4"/>
      <c r="I852" s="4"/>
      <c r="J852" s="4"/>
      <c r="K852" s="4"/>
      <c r="L852" s="4"/>
      <c r="M852" s="4"/>
      <c r="N852" s="4"/>
      <c r="O852" s="16"/>
      <c r="P852" s="19"/>
      <c r="Q852" s="5"/>
      <c r="S852" s="22"/>
    </row>
    <row r="853" spans="5:19" ht="12.75" x14ac:dyDescent="0.2">
      <c r="E853" s="7"/>
      <c r="G853" s="13"/>
      <c r="H853" s="4"/>
      <c r="I853" s="4"/>
      <c r="J853" s="4"/>
      <c r="K853" s="4"/>
      <c r="L853" s="4"/>
      <c r="M853" s="4"/>
      <c r="N853" s="4"/>
      <c r="O853" s="16"/>
      <c r="P853" s="19"/>
      <c r="Q853" s="5"/>
      <c r="S853" s="22"/>
    </row>
    <row r="854" spans="5:19" ht="12.75" x14ac:dyDescent="0.2">
      <c r="E854" s="7"/>
      <c r="G854" s="13"/>
      <c r="H854" s="4"/>
      <c r="I854" s="4"/>
      <c r="J854" s="4"/>
      <c r="K854" s="4"/>
      <c r="L854" s="4"/>
      <c r="M854" s="4"/>
      <c r="N854" s="4"/>
      <c r="O854" s="16"/>
      <c r="P854" s="19"/>
      <c r="Q854" s="5"/>
      <c r="S854" s="22"/>
    </row>
    <row r="855" spans="5:19" ht="12.75" x14ac:dyDescent="0.2">
      <c r="E855" s="7"/>
      <c r="G855" s="13"/>
      <c r="H855" s="4"/>
      <c r="I855" s="4"/>
      <c r="J855" s="4"/>
      <c r="K855" s="4"/>
      <c r="L855" s="4"/>
      <c r="M855" s="4"/>
      <c r="N855" s="4"/>
      <c r="O855" s="16"/>
      <c r="P855" s="19"/>
      <c r="Q855" s="5"/>
      <c r="S855" s="22"/>
    </row>
    <row r="856" spans="5:19" ht="12.75" x14ac:dyDescent="0.2">
      <c r="E856" s="7"/>
      <c r="G856" s="13"/>
      <c r="H856" s="4"/>
      <c r="I856" s="4"/>
      <c r="J856" s="4"/>
      <c r="K856" s="4"/>
      <c r="L856" s="4"/>
      <c r="M856" s="4"/>
      <c r="N856" s="4"/>
      <c r="O856" s="16"/>
      <c r="P856" s="19"/>
      <c r="Q856" s="5"/>
      <c r="S856" s="22"/>
    </row>
    <row r="857" spans="5:19" ht="12.75" x14ac:dyDescent="0.2">
      <c r="E857" s="7"/>
      <c r="G857" s="13"/>
      <c r="H857" s="4"/>
      <c r="I857" s="4"/>
      <c r="J857" s="4"/>
      <c r="K857" s="4"/>
      <c r="L857" s="4"/>
      <c r="M857" s="4"/>
      <c r="N857" s="4"/>
      <c r="O857" s="16"/>
      <c r="P857" s="19"/>
      <c r="Q857" s="5"/>
      <c r="S857" s="22"/>
    </row>
    <row r="858" spans="5:19" ht="12.75" x14ac:dyDescent="0.2">
      <c r="E858" s="7"/>
      <c r="G858" s="13"/>
      <c r="H858" s="4"/>
      <c r="I858" s="4"/>
      <c r="J858" s="4"/>
      <c r="K858" s="4"/>
      <c r="L858" s="4"/>
      <c r="M858" s="4"/>
      <c r="N858" s="4"/>
      <c r="O858" s="16"/>
      <c r="P858" s="19"/>
      <c r="Q858" s="5"/>
      <c r="S858" s="22"/>
    </row>
    <row r="859" spans="5:19" ht="12.75" x14ac:dyDescent="0.2">
      <c r="E859" s="7"/>
      <c r="G859" s="13"/>
      <c r="H859" s="4"/>
      <c r="I859" s="4"/>
      <c r="J859" s="4"/>
      <c r="K859" s="4"/>
      <c r="L859" s="4"/>
      <c r="M859" s="4"/>
      <c r="N859" s="4"/>
      <c r="O859" s="16"/>
      <c r="P859" s="19"/>
      <c r="Q859" s="5"/>
      <c r="S859" s="22"/>
    </row>
    <row r="860" spans="5:19" ht="12.75" x14ac:dyDescent="0.2">
      <c r="E860" s="7"/>
      <c r="G860" s="13"/>
      <c r="H860" s="4"/>
      <c r="I860" s="4"/>
      <c r="J860" s="4"/>
      <c r="K860" s="4"/>
      <c r="L860" s="4"/>
      <c r="M860" s="4"/>
      <c r="N860" s="4"/>
      <c r="O860" s="16"/>
      <c r="P860" s="19"/>
      <c r="Q860" s="5"/>
      <c r="S860" s="22"/>
    </row>
    <row r="861" spans="5:19" ht="12.75" x14ac:dyDescent="0.2">
      <c r="E861" s="7"/>
      <c r="G861" s="13"/>
      <c r="H861" s="4"/>
      <c r="I861" s="4"/>
      <c r="J861" s="4"/>
      <c r="K861" s="4"/>
      <c r="L861" s="4"/>
      <c r="M861" s="4"/>
      <c r="N861" s="4"/>
      <c r="O861" s="16"/>
      <c r="P861" s="19"/>
      <c r="Q861" s="5"/>
      <c r="S861" s="22"/>
    </row>
    <row r="862" spans="5:19" ht="12.75" x14ac:dyDescent="0.2">
      <c r="E862" s="7"/>
      <c r="G862" s="13"/>
      <c r="H862" s="4"/>
      <c r="I862" s="4"/>
      <c r="J862" s="4"/>
      <c r="K862" s="4"/>
      <c r="L862" s="4"/>
      <c r="M862" s="4"/>
      <c r="N862" s="4"/>
      <c r="O862" s="16"/>
      <c r="P862" s="19"/>
      <c r="Q862" s="5"/>
      <c r="S862" s="22"/>
    </row>
    <row r="863" spans="5:19" ht="12.75" x14ac:dyDescent="0.2">
      <c r="E863" s="7"/>
      <c r="G863" s="13"/>
      <c r="H863" s="4"/>
      <c r="I863" s="4"/>
      <c r="J863" s="4"/>
      <c r="K863" s="4"/>
      <c r="L863" s="4"/>
      <c r="M863" s="4"/>
      <c r="N863" s="4"/>
      <c r="O863" s="16"/>
      <c r="P863" s="19"/>
      <c r="Q863" s="5"/>
      <c r="S863" s="22"/>
    </row>
    <row r="864" spans="5:19" ht="12.75" x14ac:dyDescent="0.2">
      <c r="E864" s="7"/>
      <c r="G864" s="13"/>
      <c r="H864" s="4"/>
      <c r="I864" s="4"/>
      <c r="J864" s="4"/>
      <c r="K864" s="4"/>
      <c r="L864" s="4"/>
      <c r="M864" s="4"/>
      <c r="N864" s="4"/>
      <c r="O864" s="16"/>
      <c r="P864" s="19"/>
      <c r="Q864" s="5"/>
      <c r="S864" s="22"/>
    </row>
    <row r="865" spans="5:19" ht="12.75" x14ac:dyDescent="0.2">
      <c r="E865" s="7"/>
      <c r="G865" s="13"/>
      <c r="H865" s="4"/>
      <c r="I865" s="4"/>
      <c r="J865" s="4"/>
      <c r="K865" s="4"/>
      <c r="L865" s="4"/>
      <c r="M865" s="4"/>
      <c r="N865" s="4"/>
      <c r="O865" s="16"/>
      <c r="P865" s="19"/>
      <c r="Q865" s="5"/>
      <c r="S865" s="22"/>
    </row>
    <row r="866" spans="5:19" ht="12.75" x14ac:dyDescent="0.2">
      <c r="E866" s="7"/>
      <c r="G866" s="13"/>
      <c r="H866" s="4"/>
      <c r="I866" s="4"/>
      <c r="J866" s="4"/>
      <c r="K866" s="4"/>
      <c r="L866" s="4"/>
      <c r="M866" s="4"/>
      <c r="N866" s="4"/>
      <c r="O866" s="16"/>
      <c r="P866" s="19"/>
      <c r="Q866" s="5"/>
      <c r="S866" s="22"/>
    </row>
    <row r="867" spans="5:19" ht="12.75" x14ac:dyDescent="0.2">
      <c r="E867" s="7"/>
      <c r="G867" s="13"/>
      <c r="H867" s="4"/>
      <c r="I867" s="4"/>
      <c r="J867" s="4"/>
      <c r="K867" s="4"/>
      <c r="L867" s="4"/>
      <c r="M867" s="4"/>
      <c r="N867" s="4"/>
      <c r="O867" s="16"/>
      <c r="P867" s="19"/>
      <c r="Q867" s="5"/>
      <c r="S867" s="22"/>
    </row>
    <row r="868" spans="5:19" ht="12.75" x14ac:dyDescent="0.2">
      <c r="E868" s="7"/>
      <c r="G868" s="13"/>
      <c r="H868" s="4"/>
      <c r="I868" s="4"/>
      <c r="J868" s="4"/>
      <c r="K868" s="4"/>
      <c r="L868" s="4"/>
      <c r="M868" s="4"/>
      <c r="N868" s="4"/>
      <c r="O868" s="16"/>
      <c r="P868" s="19"/>
      <c r="Q868" s="5"/>
      <c r="S868" s="22"/>
    </row>
    <row r="869" spans="5:19" ht="12.75" x14ac:dyDescent="0.2">
      <c r="E869" s="7"/>
      <c r="G869" s="13"/>
      <c r="H869" s="4"/>
      <c r="I869" s="4"/>
      <c r="J869" s="4"/>
      <c r="K869" s="4"/>
      <c r="L869" s="4"/>
      <c r="M869" s="4"/>
      <c r="N869" s="4"/>
      <c r="O869" s="16"/>
      <c r="P869" s="19"/>
      <c r="Q869" s="5"/>
      <c r="S869" s="22"/>
    </row>
    <row r="870" spans="5:19" ht="12.75" x14ac:dyDescent="0.2">
      <c r="E870" s="7"/>
      <c r="G870" s="13"/>
      <c r="H870" s="4"/>
      <c r="I870" s="4"/>
      <c r="J870" s="4"/>
      <c r="K870" s="4"/>
      <c r="L870" s="4"/>
      <c r="M870" s="4"/>
      <c r="N870" s="4"/>
      <c r="O870" s="16"/>
      <c r="P870" s="19"/>
      <c r="Q870" s="5"/>
      <c r="S870" s="22"/>
    </row>
    <row r="871" spans="5:19" ht="12.75" x14ac:dyDescent="0.2">
      <c r="E871" s="7"/>
      <c r="G871" s="13"/>
      <c r="H871" s="4"/>
      <c r="I871" s="4"/>
      <c r="J871" s="4"/>
      <c r="K871" s="4"/>
      <c r="L871" s="4"/>
      <c r="M871" s="4"/>
      <c r="N871" s="4"/>
      <c r="O871" s="16"/>
      <c r="P871" s="19"/>
      <c r="Q871" s="5"/>
      <c r="S871" s="22"/>
    </row>
    <row r="872" spans="5:19" ht="12.75" x14ac:dyDescent="0.2">
      <c r="E872" s="7"/>
      <c r="G872" s="13"/>
      <c r="H872" s="4"/>
      <c r="I872" s="4"/>
      <c r="J872" s="4"/>
      <c r="K872" s="4"/>
      <c r="L872" s="4"/>
      <c r="M872" s="4"/>
      <c r="N872" s="4"/>
      <c r="O872" s="16"/>
      <c r="P872" s="19"/>
      <c r="Q872" s="5"/>
      <c r="S872" s="22"/>
    </row>
    <row r="873" spans="5:19" ht="12.75" x14ac:dyDescent="0.2">
      <c r="E873" s="7"/>
      <c r="G873" s="13"/>
      <c r="H873" s="4"/>
      <c r="I873" s="4"/>
      <c r="J873" s="4"/>
      <c r="K873" s="4"/>
      <c r="L873" s="4"/>
      <c r="M873" s="4"/>
      <c r="N873" s="4"/>
      <c r="O873" s="16"/>
      <c r="P873" s="19"/>
      <c r="Q873" s="5"/>
      <c r="S873" s="22"/>
    </row>
    <row r="874" spans="5:19" ht="12.75" x14ac:dyDescent="0.2">
      <c r="E874" s="7"/>
      <c r="G874" s="13"/>
      <c r="H874" s="4"/>
      <c r="I874" s="4"/>
      <c r="J874" s="4"/>
      <c r="K874" s="4"/>
      <c r="L874" s="4"/>
      <c r="M874" s="4"/>
      <c r="N874" s="4"/>
      <c r="O874" s="16"/>
      <c r="P874" s="19"/>
      <c r="Q874" s="5"/>
      <c r="S874" s="22"/>
    </row>
    <row r="875" spans="5:19" ht="12.75" x14ac:dyDescent="0.2">
      <c r="E875" s="7"/>
      <c r="G875" s="13"/>
      <c r="H875" s="4"/>
      <c r="I875" s="4"/>
      <c r="J875" s="4"/>
      <c r="K875" s="4"/>
      <c r="L875" s="4"/>
      <c r="M875" s="4"/>
      <c r="N875" s="4"/>
      <c r="O875" s="16"/>
      <c r="P875" s="19"/>
      <c r="Q875" s="5"/>
      <c r="S875" s="22"/>
    </row>
    <row r="876" spans="5:19" ht="12.75" x14ac:dyDescent="0.2">
      <c r="E876" s="7"/>
      <c r="G876" s="13"/>
      <c r="H876" s="4"/>
      <c r="I876" s="4"/>
      <c r="J876" s="4"/>
      <c r="K876" s="4"/>
      <c r="L876" s="4"/>
      <c r="M876" s="4"/>
      <c r="N876" s="4"/>
      <c r="O876" s="16"/>
      <c r="P876" s="19"/>
      <c r="Q876" s="5"/>
      <c r="S876" s="22"/>
    </row>
    <row r="877" spans="5:19" ht="12.75" x14ac:dyDescent="0.2">
      <c r="E877" s="7"/>
      <c r="G877" s="13"/>
      <c r="H877" s="4"/>
      <c r="I877" s="4"/>
      <c r="J877" s="4"/>
      <c r="K877" s="4"/>
      <c r="L877" s="4"/>
      <c r="M877" s="4"/>
      <c r="N877" s="4"/>
      <c r="O877" s="16"/>
      <c r="P877" s="19"/>
      <c r="Q877" s="5"/>
      <c r="S877" s="22"/>
    </row>
    <row r="878" spans="5:19" ht="12.75" x14ac:dyDescent="0.2">
      <c r="E878" s="7"/>
      <c r="G878" s="13"/>
      <c r="H878" s="4"/>
      <c r="I878" s="4"/>
      <c r="J878" s="4"/>
      <c r="K878" s="4"/>
      <c r="L878" s="4"/>
      <c r="M878" s="4"/>
      <c r="N878" s="4"/>
      <c r="O878" s="16"/>
      <c r="P878" s="19"/>
      <c r="Q878" s="5"/>
      <c r="S878" s="22"/>
    </row>
    <row r="879" spans="5:19" ht="12.75" x14ac:dyDescent="0.2">
      <c r="E879" s="7"/>
      <c r="G879" s="13"/>
      <c r="H879" s="4"/>
      <c r="I879" s="4"/>
      <c r="J879" s="4"/>
      <c r="K879" s="4"/>
      <c r="L879" s="4"/>
      <c r="M879" s="4"/>
      <c r="N879" s="4"/>
      <c r="O879" s="16"/>
      <c r="P879" s="19"/>
      <c r="Q879" s="5"/>
      <c r="S879" s="22"/>
    </row>
    <row r="880" spans="5:19" ht="12.75" x14ac:dyDescent="0.2">
      <c r="E880" s="7"/>
      <c r="G880" s="13"/>
      <c r="H880" s="4"/>
      <c r="I880" s="4"/>
      <c r="J880" s="4"/>
      <c r="K880" s="4"/>
      <c r="L880" s="4"/>
      <c r="M880" s="4"/>
      <c r="N880" s="4"/>
      <c r="O880" s="16"/>
      <c r="P880" s="19"/>
      <c r="Q880" s="5"/>
      <c r="S880" s="22"/>
    </row>
    <row r="881" spans="5:19" ht="12.75" x14ac:dyDescent="0.2">
      <c r="E881" s="7"/>
      <c r="G881" s="13"/>
      <c r="H881" s="4"/>
      <c r="I881" s="4"/>
      <c r="J881" s="4"/>
      <c r="K881" s="4"/>
      <c r="L881" s="4"/>
      <c r="M881" s="4"/>
      <c r="N881" s="4"/>
      <c r="O881" s="16"/>
      <c r="P881" s="19"/>
      <c r="Q881" s="5"/>
      <c r="S881" s="22"/>
    </row>
    <row r="882" spans="5:19" ht="12.75" x14ac:dyDescent="0.2">
      <c r="E882" s="7"/>
      <c r="G882" s="13"/>
      <c r="H882" s="4"/>
      <c r="I882" s="4"/>
      <c r="J882" s="4"/>
      <c r="K882" s="4"/>
      <c r="L882" s="4"/>
      <c r="M882" s="4"/>
      <c r="N882" s="4"/>
      <c r="O882" s="16"/>
      <c r="P882" s="19"/>
      <c r="Q882" s="5"/>
      <c r="S882" s="22"/>
    </row>
    <row r="883" spans="5:19" ht="12.75" x14ac:dyDescent="0.2">
      <c r="E883" s="7"/>
      <c r="G883" s="13"/>
      <c r="H883" s="4"/>
      <c r="I883" s="4"/>
      <c r="J883" s="4"/>
      <c r="K883" s="4"/>
      <c r="L883" s="4"/>
      <c r="M883" s="4"/>
      <c r="N883" s="4"/>
      <c r="O883" s="16"/>
      <c r="P883" s="19"/>
      <c r="Q883" s="5"/>
      <c r="S883" s="22"/>
    </row>
    <row r="884" spans="5:19" ht="12.75" x14ac:dyDescent="0.2">
      <c r="E884" s="7"/>
      <c r="G884" s="13"/>
      <c r="H884" s="4"/>
      <c r="I884" s="4"/>
      <c r="J884" s="4"/>
      <c r="K884" s="4"/>
      <c r="L884" s="4"/>
      <c r="M884" s="4"/>
      <c r="N884" s="4"/>
      <c r="O884" s="16"/>
      <c r="P884" s="19"/>
      <c r="Q884" s="5"/>
      <c r="S884" s="22"/>
    </row>
    <row r="885" spans="5:19" ht="12.75" x14ac:dyDescent="0.2">
      <c r="E885" s="7"/>
      <c r="G885" s="13"/>
      <c r="H885" s="4"/>
      <c r="I885" s="4"/>
      <c r="J885" s="4"/>
      <c r="K885" s="4"/>
      <c r="L885" s="4"/>
      <c r="M885" s="4"/>
      <c r="N885" s="4"/>
      <c r="O885" s="16"/>
      <c r="P885" s="19"/>
      <c r="Q885" s="5"/>
      <c r="S885" s="22"/>
    </row>
    <row r="886" spans="5:19" ht="12.75" x14ac:dyDescent="0.2">
      <c r="E886" s="7"/>
      <c r="G886" s="13"/>
      <c r="H886" s="4"/>
      <c r="I886" s="4"/>
      <c r="J886" s="4"/>
      <c r="K886" s="4"/>
      <c r="L886" s="4"/>
      <c r="M886" s="4"/>
      <c r="N886" s="4"/>
      <c r="O886" s="16"/>
      <c r="P886" s="19"/>
      <c r="Q886" s="5"/>
      <c r="S886" s="22"/>
    </row>
    <row r="887" spans="5:19" ht="12.75" x14ac:dyDescent="0.2">
      <c r="E887" s="7"/>
      <c r="G887" s="13"/>
      <c r="H887" s="4"/>
      <c r="I887" s="4"/>
      <c r="J887" s="4"/>
      <c r="K887" s="4"/>
      <c r="L887" s="4"/>
      <c r="M887" s="4"/>
      <c r="N887" s="4"/>
      <c r="O887" s="16"/>
      <c r="P887" s="19"/>
      <c r="Q887" s="5"/>
      <c r="S887" s="22"/>
    </row>
    <row r="888" spans="5:19" ht="12.75" x14ac:dyDescent="0.2">
      <c r="E888" s="7"/>
      <c r="G888" s="13"/>
      <c r="H888" s="4"/>
      <c r="I888" s="4"/>
      <c r="J888" s="4"/>
      <c r="K888" s="4"/>
      <c r="L888" s="4"/>
      <c r="M888" s="4"/>
      <c r="N888" s="4"/>
      <c r="O888" s="16"/>
      <c r="P888" s="19"/>
      <c r="Q888" s="5"/>
      <c r="S888" s="22"/>
    </row>
    <row r="889" spans="5:19" ht="12.75" x14ac:dyDescent="0.2">
      <c r="E889" s="7"/>
      <c r="G889" s="13"/>
      <c r="H889" s="4"/>
      <c r="I889" s="4"/>
      <c r="J889" s="4"/>
      <c r="K889" s="4"/>
      <c r="L889" s="4"/>
      <c r="M889" s="4"/>
      <c r="N889" s="4"/>
      <c r="O889" s="16"/>
      <c r="P889" s="19"/>
      <c r="Q889" s="5"/>
      <c r="S889" s="22"/>
    </row>
    <row r="890" spans="5:19" ht="12.75" x14ac:dyDescent="0.2">
      <c r="E890" s="7"/>
      <c r="G890" s="13"/>
      <c r="H890" s="4"/>
      <c r="I890" s="4"/>
      <c r="J890" s="4"/>
      <c r="K890" s="4"/>
      <c r="L890" s="4"/>
      <c r="M890" s="4"/>
      <c r="N890" s="4"/>
      <c r="O890" s="16"/>
      <c r="P890" s="19"/>
      <c r="Q890" s="5"/>
      <c r="S890" s="22"/>
    </row>
    <row r="891" spans="5:19" ht="12.75" x14ac:dyDescent="0.2">
      <c r="E891" s="7"/>
      <c r="G891" s="13"/>
      <c r="H891" s="4"/>
      <c r="I891" s="4"/>
      <c r="J891" s="4"/>
      <c r="K891" s="4"/>
      <c r="L891" s="4"/>
      <c r="M891" s="4"/>
      <c r="N891" s="4"/>
      <c r="O891" s="16"/>
      <c r="P891" s="19"/>
      <c r="Q891" s="5"/>
      <c r="S891" s="22"/>
    </row>
    <row r="892" spans="5:19" ht="12.75" x14ac:dyDescent="0.2">
      <c r="E892" s="7"/>
      <c r="G892" s="13"/>
      <c r="H892" s="4"/>
      <c r="I892" s="4"/>
      <c r="J892" s="4"/>
      <c r="K892" s="4"/>
      <c r="L892" s="4"/>
      <c r="M892" s="4"/>
      <c r="N892" s="4"/>
      <c r="O892" s="16"/>
      <c r="P892" s="19"/>
      <c r="Q892" s="5"/>
      <c r="S892" s="22"/>
    </row>
    <row r="893" spans="5:19" ht="12.75" x14ac:dyDescent="0.2">
      <c r="E893" s="7"/>
      <c r="G893" s="13"/>
      <c r="H893" s="4"/>
      <c r="I893" s="4"/>
      <c r="J893" s="4"/>
      <c r="K893" s="4"/>
      <c r="L893" s="4"/>
      <c r="M893" s="4"/>
      <c r="N893" s="4"/>
      <c r="O893" s="16"/>
      <c r="P893" s="19"/>
      <c r="Q893" s="5"/>
      <c r="S893" s="22"/>
    </row>
    <row r="894" spans="5:19" ht="12.75" x14ac:dyDescent="0.2">
      <c r="E894" s="7"/>
      <c r="G894" s="13"/>
      <c r="H894" s="4"/>
      <c r="I894" s="4"/>
      <c r="J894" s="4"/>
      <c r="K894" s="4"/>
      <c r="L894" s="4"/>
      <c r="M894" s="4"/>
      <c r="N894" s="4"/>
      <c r="O894" s="16"/>
      <c r="P894" s="19"/>
      <c r="Q894" s="5"/>
      <c r="S894" s="22"/>
    </row>
    <row r="895" spans="5:19" ht="12.75" x14ac:dyDescent="0.2">
      <c r="E895" s="7"/>
      <c r="G895" s="13"/>
      <c r="H895" s="4"/>
      <c r="I895" s="4"/>
      <c r="J895" s="4"/>
      <c r="K895" s="4"/>
      <c r="L895" s="4"/>
      <c r="M895" s="4"/>
      <c r="N895" s="4"/>
      <c r="O895" s="16"/>
      <c r="P895" s="19"/>
      <c r="Q895" s="5"/>
      <c r="S895" s="22"/>
    </row>
    <row r="896" spans="5:19" ht="12.75" x14ac:dyDescent="0.2">
      <c r="E896" s="7"/>
      <c r="G896" s="13"/>
      <c r="H896" s="4"/>
      <c r="I896" s="4"/>
      <c r="J896" s="4"/>
      <c r="K896" s="4"/>
      <c r="L896" s="4"/>
      <c r="M896" s="4"/>
      <c r="N896" s="4"/>
      <c r="O896" s="16"/>
      <c r="P896" s="19"/>
      <c r="Q896" s="5"/>
      <c r="S896" s="22"/>
    </row>
    <row r="897" spans="5:19" ht="12.75" x14ac:dyDescent="0.2">
      <c r="E897" s="7"/>
      <c r="G897" s="13"/>
      <c r="H897" s="4"/>
      <c r="I897" s="4"/>
      <c r="J897" s="4"/>
      <c r="K897" s="4"/>
      <c r="L897" s="4"/>
      <c r="M897" s="4"/>
      <c r="N897" s="4"/>
      <c r="O897" s="16"/>
      <c r="P897" s="19"/>
      <c r="Q897" s="5"/>
      <c r="S897" s="22"/>
    </row>
    <row r="898" spans="5:19" ht="12.75" x14ac:dyDescent="0.2">
      <c r="E898" s="7"/>
      <c r="G898" s="13"/>
      <c r="H898" s="4"/>
      <c r="I898" s="4"/>
      <c r="J898" s="4"/>
      <c r="K898" s="4"/>
      <c r="L898" s="4"/>
      <c r="M898" s="4"/>
      <c r="N898" s="4"/>
      <c r="O898" s="16"/>
      <c r="P898" s="19"/>
      <c r="Q898" s="5"/>
      <c r="S898" s="22"/>
    </row>
    <row r="899" spans="5:19" ht="12.75" x14ac:dyDescent="0.2">
      <c r="E899" s="7"/>
      <c r="G899" s="13"/>
      <c r="H899" s="4"/>
      <c r="I899" s="4"/>
      <c r="J899" s="4"/>
      <c r="K899" s="4"/>
      <c r="L899" s="4"/>
      <c r="M899" s="4"/>
      <c r="N899" s="4"/>
      <c r="O899" s="16"/>
      <c r="P899" s="19"/>
      <c r="Q899" s="5"/>
      <c r="S899" s="22"/>
    </row>
    <row r="900" spans="5:19" ht="12.75" x14ac:dyDescent="0.2">
      <c r="E900" s="7"/>
      <c r="G900" s="13"/>
      <c r="H900" s="4"/>
      <c r="I900" s="4"/>
      <c r="J900" s="4"/>
      <c r="K900" s="4"/>
      <c r="L900" s="4"/>
      <c r="M900" s="4"/>
      <c r="N900" s="4"/>
      <c r="O900" s="16"/>
      <c r="P900" s="19"/>
      <c r="Q900" s="5"/>
      <c r="S900" s="22"/>
    </row>
    <row r="901" spans="5:19" ht="12.75" x14ac:dyDescent="0.2">
      <c r="E901" s="7"/>
      <c r="G901" s="13"/>
      <c r="H901" s="4"/>
      <c r="I901" s="4"/>
      <c r="J901" s="4"/>
      <c r="K901" s="4"/>
      <c r="L901" s="4"/>
      <c r="M901" s="4"/>
      <c r="N901" s="4"/>
      <c r="O901" s="16"/>
      <c r="P901" s="19"/>
      <c r="Q901" s="5"/>
      <c r="S901" s="22"/>
    </row>
    <row r="902" spans="5:19" ht="12.75" x14ac:dyDescent="0.2">
      <c r="E902" s="7"/>
      <c r="G902" s="13"/>
      <c r="H902" s="4"/>
      <c r="I902" s="4"/>
      <c r="J902" s="4"/>
      <c r="K902" s="4"/>
      <c r="L902" s="4"/>
      <c r="M902" s="4"/>
      <c r="N902" s="4"/>
      <c r="O902" s="16"/>
      <c r="P902" s="19"/>
      <c r="Q902" s="5"/>
      <c r="S902" s="22"/>
    </row>
    <row r="903" spans="5:19" ht="12.75" x14ac:dyDescent="0.2">
      <c r="E903" s="7"/>
      <c r="G903" s="13"/>
      <c r="H903" s="4"/>
      <c r="I903" s="4"/>
      <c r="J903" s="4"/>
      <c r="K903" s="4"/>
      <c r="L903" s="4"/>
      <c r="M903" s="4"/>
      <c r="N903" s="4"/>
      <c r="O903" s="16"/>
      <c r="P903" s="19"/>
      <c r="Q903" s="5"/>
      <c r="S903" s="22"/>
    </row>
    <row r="904" spans="5:19" ht="12.75" x14ac:dyDescent="0.2">
      <c r="E904" s="7"/>
      <c r="G904" s="13"/>
      <c r="H904" s="4"/>
      <c r="I904" s="4"/>
      <c r="J904" s="4"/>
      <c r="K904" s="4"/>
      <c r="L904" s="4"/>
      <c r="M904" s="4"/>
      <c r="N904" s="4"/>
      <c r="O904" s="16"/>
      <c r="P904" s="19"/>
      <c r="Q904" s="5"/>
      <c r="S904" s="22"/>
    </row>
    <row r="905" spans="5:19" ht="12.75" x14ac:dyDescent="0.2">
      <c r="E905" s="7"/>
      <c r="G905" s="13"/>
      <c r="H905" s="4"/>
      <c r="I905" s="4"/>
      <c r="J905" s="4"/>
      <c r="K905" s="4"/>
      <c r="L905" s="4"/>
      <c r="M905" s="4"/>
      <c r="N905" s="4"/>
      <c r="O905" s="16"/>
      <c r="P905" s="19"/>
      <c r="Q905" s="5"/>
      <c r="S905" s="22"/>
    </row>
    <row r="906" spans="5:19" ht="12.75" x14ac:dyDescent="0.2">
      <c r="E906" s="7"/>
      <c r="G906" s="13"/>
      <c r="H906" s="4"/>
      <c r="I906" s="4"/>
      <c r="J906" s="4"/>
      <c r="K906" s="4"/>
      <c r="L906" s="4"/>
      <c r="M906" s="4"/>
      <c r="N906" s="4"/>
      <c r="O906" s="16"/>
      <c r="P906" s="19"/>
      <c r="Q906" s="5"/>
      <c r="S906" s="22"/>
    </row>
    <row r="907" spans="5:19" ht="12.75" x14ac:dyDescent="0.2">
      <c r="E907" s="7"/>
      <c r="G907" s="13"/>
      <c r="H907" s="4"/>
      <c r="I907" s="4"/>
      <c r="J907" s="4"/>
      <c r="K907" s="4"/>
      <c r="L907" s="4"/>
      <c r="M907" s="4"/>
      <c r="N907" s="4"/>
      <c r="O907" s="16"/>
      <c r="P907" s="19"/>
      <c r="Q907" s="5"/>
      <c r="S907" s="22"/>
    </row>
    <row r="908" spans="5:19" ht="12.75" x14ac:dyDescent="0.2">
      <c r="E908" s="7"/>
      <c r="G908" s="13"/>
      <c r="H908" s="4"/>
      <c r="I908" s="4"/>
      <c r="J908" s="4"/>
      <c r="K908" s="4"/>
      <c r="L908" s="4"/>
      <c r="M908" s="4"/>
      <c r="N908" s="4"/>
      <c r="O908" s="16"/>
      <c r="P908" s="19"/>
      <c r="Q908" s="5"/>
      <c r="S908" s="22"/>
    </row>
    <row r="909" spans="5:19" ht="12.75" x14ac:dyDescent="0.2">
      <c r="E909" s="7"/>
      <c r="G909" s="13"/>
      <c r="H909" s="4"/>
      <c r="I909" s="4"/>
      <c r="J909" s="4"/>
      <c r="K909" s="4"/>
      <c r="L909" s="4"/>
      <c r="M909" s="4"/>
      <c r="N909" s="4"/>
      <c r="O909" s="16"/>
      <c r="P909" s="19"/>
      <c r="Q909" s="5"/>
      <c r="S909" s="22"/>
    </row>
    <row r="910" spans="5:19" ht="12.75" x14ac:dyDescent="0.2">
      <c r="E910" s="7"/>
      <c r="G910" s="13"/>
      <c r="H910" s="4"/>
      <c r="I910" s="4"/>
      <c r="J910" s="4"/>
      <c r="K910" s="4"/>
      <c r="L910" s="4"/>
      <c r="M910" s="4"/>
      <c r="N910" s="4"/>
      <c r="O910" s="16"/>
      <c r="P910" s="19"/>
      <c r="Q910" s="5"/>
      <c r="S910" s="22"/>
    </row>
    <row r="911" spans="5:19" ht="12.75" x14ac:dyDescent="0.2">
      <c r="E911" s="7"/>
      <c r="G911" s="13"/>
      <c r="H911" s="4"/>
      <c r="I911" s="4"/>
      <c r="J911" s="4"/>
      <c r="K911" s="4"/>
      <c r="L911" s="4"/>
      <c r="M911" s="4"/>
      <c r="N911" s="4"/>
      <c r="O911" s="16"/>
      <c r="P911" s="19"/>
      <c r="Q911" s="5"/>
      <c r="S911" s="22"/>
    </row>
    <row r="912" spans="5:19" ht="12.75" x14ac:dyDescent="0.2">
      <c r="E912" s="7"/>
      <c r="G912" s="13"/>
      <c r="H912" s="4"/>
      <c r="I912" s="4"/>
      <c r="J912" s="4"/>
      <c r="K912" s="4"/>
      <c r="L912" s="4"/>
      <c r="M912" s="4"/>
      <c r="N912" s="4"/>
      <c r="O912" s="16"/>
      <c r="P912" s="19"/>
      <c r="Q912" s="5"/>
      <c r="S912" s="22"/>
    </row>
    <row r="913" spans="5:19" ht="12.75" x14ac:dyDescent="0.2">
      <c r="E913" s="7"/>
      <c r="G913" s="13"/>
      <c r="H913" s="4"/>
      <c r="I913" s="4"/>
      <c r="J913" s="4"/>
      <c r="K913" s="4"/>
      <c r="L913" s="4"/>
      <c r="M913" s="4"/>
      <c r="N913" s="4"/>
      <c r="O913" s="16"/>
      <c r="P913" s="19"/>
      <c r="Q913" s="5"/>
      <c r="S913" s="22"/>
    </row>
    <row r="914" spans="5:19" ht="12.75" x14ac:dyDescent="0.2">
      <c r="E914" s="7"/>
      <c r="G914" s="13"/>
      <c r="H914" s="4"/>
      <c r="I914" s="4"/>
      <c r="J914" s="4"/>
      <c r="K914" s="4"/>
      <c r="L914" s="4"/>
      <c r="M914" s="4"/>
      <c r="N914" s="4"/>
      <c r="O914" s="16"/>
      <c r="P914" s="19"/>
      <c r="Q914" s="5"/>
      <c r="S914" s="22"/>
    </row>
    <row r="915" spans="5:19" ht="12.75" x14ac:dyDescent="0.2">
      <c r="E915" s="7"/>
      <c r="G915" s="13"/>
      <c r="H915" s="4"/>
      <c r="I915" s="4"/>
      <c r="J915" s="4"/>
      <c r="K915" s="4"/>
      <c r="L915" s="4"/>
      <c r="M915" s="4"/>
      <c r="N915" s="4"/>
      <c r="O915" s="16"/>
      <c r="P915" s="19"/>
      <c r="Q915" s="5"/>
      <c r="S915" s="22"/>
    </row>
    <row r="916" spans="5:19" ht="12.75" x14ac:dyDescent="0.2">
      <c r="E916" s="7"/>
      <c r="G916" s="13"/>
      <c r="H916" s="4"/>
      <c r="I916" s="4"/>
      <c r="J916" s="4"/>
      <c r="K916" s="4"/>
      <c r="L916" s="4"/>
      <c r="M916" s="4"/>
      <c r="N916" s="4"/>
      <c r="O916" s="16"/>
      <c r="P916" s="19"/>
      <c r="Q916" s="5"/>
      <c r="S916" s="22"/>
    </row>
    <row r="917" spans="5:19" ht="12.75" x14ac:dyDescent="0.2">
      <c r="E917" s="7"/>
      <c r="G917" s="13"/>
      <c r="H917" s="4"/>
      <c r="I917" s="4"/>
      <c r="J917" s="4"/>
      <c r="K917" s="4"/>
      <c r="L917" s="4"/>
      <c r="M917" s="4"/>
      <c r="N917" s="4"/>
      <c r="O917" s="16"/>
      <c r="P917" s="19"/>
      <c r="Q917" s="5"/>
      <c r="S917" s="22"/>
    </row>
    <row r="918" spans="5:19" ht="12.75" x14ac:dyDescent="0.2">
      <c r="E918" s="7"/>
      <c r="G918" s="13"/>
      <c r="H918" s="4"/>
      <c r="I918" s="4"/>
      <c r="J918" s="4"/>
      <c r="K918" s="4"/>
      <c r="L918" s="4"/>
      <c r="M918" s="4"/>
      <c r="N918" s="4"/>
      <c r="O918" s="16"/>
      <c r="P918" s="19"/>
      <c r="Q918" s="5"/>
      <c r="S918" s="22"/>
    </row>
    <row r="919" spans="5:19" ht="12.75" x14ac:dyDescent="0.2">
      <c r="E919" s="7"/>
      <c r="G919" s="13"/>
      <c r="H919" s="4"/>
      <c r="I919" s="4"/>
      <c r="J919" s="4"/>
      <c r="K919" s="4"/>
      <c r="L919" s="4"/>
      <c r="M919" s="4"/>
      <c r="N919" s="4"/>
      <c r="O919" s="16"/>
      <c r="P919" s="19"/>
      <c r="Q919" s="5"/>
      <c r="S919" s="22"/>
    </row>
    <row r="920" spans="5:19" ht="12.75" x14ac:dyDescent="0.2">
      <c r="E920" s="7"/>
      <c r="G920" s="13"/>
      <c r="H920" s="4"/>
      <c r="I920" s="4"/>
      <c r="J920" s="4"/>
      <c r="K920" s="4"/>
      <c r="L920" s="4"/>
      <c r="M920" s="4"/>
      <c r="N920" s="4"/>
      <c r="O920" s="16"/>
      <c r="P920" s="19"/>
      <c r="Q920" s="5"/>
      <c r="S920" s="22"/>
    </row>
    <row r="921" spans="5:19" ht="12.75" x14ac:dyDescent="0.2">
      <c r="E921" s="7"/>
      <c r="G921" s="13"/>
      <c r="H921" s="4"/>
      <c r="I921" s="4"/>
      <c r="J921" s="4"/>
      <c r="K921" s="4"/>
      <c r="L921" s="4"/>
      <c r="M921" s="4"/>
      <c r="N921" s="4"/>
      <c r="O921" s="16"/>
      <c r="P921" s="19"/>
      <c r="Q921" s="5"/>
      <c r="S921" s="22"/>
    </row>
    <row r="922" spans="5:19" ht="12.75" x14ac:dyDescent="0.2">
      <c r="E922" s="7"/>
      <c r="G922" s="13"/>
      <c r="H922" s="4"/>
      <c r="I922" s="4"/>
      <c r="J922" s="4"/>
      <c r="K922" s="4"/>
      <c r="L922" s="4"/>
      <c r="M922" s="4"/>
      <c r="N922" s="4"/>
      <c r="O922" s="16"/>
      <c r="P922" s="19"/>
      <c r="Q922" s="5"/>
      <c r="S922" s="22"/>
    </row>
    <row r="923" spans="5:19" ht="12.75" x14ac:dyDescent="0.2">
      <c r="E923" s="7"/>
      <c r="G923" s="13"/>
      <c r="H923" s="4"/>
      <c r="I923" s="4"/>
      <c r="J923" s="4"/>
      <c r="K923" s="4"/>
      <c r="L923" s="4"/>
      <c r="M923" s="4"/>
      <c r="N923" s="4"/>
      <c r="O923" s="16"/>
      <c r="P923" s="19"/>
      <c r="Q923" s="5"/>
      <c r="S923" s="22"/>
    </row>
    <row r="924" spans="5:19" ht="12.75" x14ac:dyDescent="0.2">
      <c r="E924" s="7"/>
      <c r="G924" s="13"/>
      <c r="H924" s="4"/>
      <c r="I924" s="4"/>
      <c r="J924" s="4"/>
      <c r="K924" s="4"/>
      <c r="L924" s="4"/>
      <c r="M924" s="4"/>
      <c r="N924" s="4"/>
      <c r="O924" s="16"/>
      <c r="P924" s="19"/>
      <c r="Q924" s="5"/>
      <c r="S924" s="22"/>
    </row>
    <row r="925" spans="5:19" ht="12.75" x14ac:dyDescent="0.2">
      <c r="E925" s="7"/>
      <c r="G925" s="13"/>
      <c r="H925" s="4"/>
      <c r="I925" s="4"/>
      <c r="J925" s="4"/>
      <c r="K925" s="4"/>
      <c r="L925" s="4"/>
      <c r="M925" s="4"/>
      <c r="N925" s="4"/>
      <c r="O925" s="16"/>
      <c r="P925" s="19"/>
      <c r="Q925" s="5"/>
      <c r="S925" s="22"/>
    </row>
    <row r="926" spans="5:19" ht="12.75" x14ac:dyDescent="0.2">
      <c r="E926" s="7"/>
      <c r="G926" s="13"/>
      <c r="H926" s="4"/>
      <c r="I926" s="4"/>
      <c r="J926" s="4"/>
      <c r="K926" s="4"/>
      <c r="L926" s="4"/>
      <c r="M926" s="4"/>
      <c r="N926" s="4"/>
      <c r="O926" s="16"/>
      <c r="P926" s="19"/>
      <c r="Q926" s="5"/>
      <c r="S926" s="22"/>
    </row>
    <row r="927" spans="5:19" ht="12.75" x14ac:dyDescent="0.2">
      <c r="E927" s="7"/>
      <c r="G927" s="13"/>
      <c r="H927" s="4"/>
      <c r="I927" s="4"/>
      <c r="J927" s="4"/>
      <c r="K927" s="4"/>
      <c r="L927" s="4"/>
      <c r="M927" s="4"/>
      <c r="N927" s="4"/>
      <c r="O927" s="16"/>
      <c r="P927" s="19"/>
      <c r="Q927" s="5"/>
      <c r="S927" s="22"/>
    </row>
    <row r="928" spans="5:19" ht="12.75" x14ac:dyDescent="0.2">
      <c r="E928" s="7"/>
      <c r="G928" s="13"/>
      <c r="H928" s="4"/>
      <c r="I928" s="4"/>
      <c r="J928" s="4"/>
      <c r="K928" s="4"/>
      <c r="L928" s="4"/>
      <c r="M928" s="4"/>
      <c r="N928" s="4"/>
      <c r="O928" s="16"/>
      <c r="P928" s="19"/>
      <c r="Q928" s="5"/>
      <c r="S928" s="22"/>
    </row>
    <row r="929" spans="5:19" ht="12.75" x14ac:dyDescent="0.2">
      <c r="E929" s="7"/>
      <c r="G929" s="13"/>
      <c r="H929" s="4"/>
      <c r="I929" s="4"/>
      <c r="J929" s="4"/>
      <c r="K929" s="4"/>
      <c r="L929" s="4"/>
      <c r="M929" s="4"/>
      <c r="N929" s="4"/>
      <c r="O929" s="16"/>
      <c r="P929" s="19"/>
      <c r="Q929" s="5"/>
      <c r="S929" s="22"/>
    </row>
    <row r="930" spans="5:19" ht="12.75" x14ac:dyDescent="0.2">
      <c r="E930" s="7"/>
      <c r="G930" s="13"/>
      <c r="H930" s="4"/>
      <c r="I930" s="4"/>
      <c r="J930" s="4"/>
      <c r="K930" s="4"/>
      <c r="L930" s="4"/>
      <c r="M930" s="4"/>
      <c r="N930" s="4"/>
      <c r="O930" s="16"/>
      <c r="P930" s="19"/>
      <c r="Q930" s="5"/>
      <c r="S930" s="22"/>
    </row>
    <row r="931" spans="5:19" ht="12.75" x14ac:dyDescent="0.2">
      <c r="E931" s="7"/>
      <c r="G931" s="13"/>
      <c r="H931" s="4"/>
      <c r="I931" s="4"/>
      <c r="J931" s="4"/>
      <c r="K931" s="4"/>
      <c r="L931" s="4"/>
      <c r="M931" s="4"/>
      <c r="N931" s="4"/>
      <c r="O931" s="16"/>
      <c r="P931" s="19"/>
      <c r="Q931" s="5"/>
      <c r="S931" s="22"/>
    </row>
    <row r="932" spans="5:19" ht="12.75" x14ac:dyDescent="0.2">
      <c r="E932" s="7"/>
      <c r="G932" s="13"/>
      <c r="H932" s="4"/>
      <c r="I932" s="4"/>
      <c r="J932" s="4"/>
      <c r="K932" s="4"/>
      <c r="L932" s="4"/>
      <c r="M932" s="4"/>
      <c r="N932" s="4"/>
      <c r="O932" s="16"/>
      <c r="P932" s="19"/>
      <c r="Q932" s="5"/>
      <c r="S932" s="22"/>
    </row>
    <row r="933" spans="5:19" ht="12.75" x14ac:dyDescent="0.2">
      <c r="E933" s="7"/>
      <c r="G933" s="13"/>
      <c r="H933" s="4"/>
      <c r="I933" s="4"/>
      <c r="J933" s="4"/>
      <c r="K933" s="4"/>
      <c r="L933" s="4"/>
      <c r="M933" s="4"/>
      <c r="N933" s="4"/>
      <c r="O933" s="16"/>
      <c r="P933" s="19"/>
      <c r="Q933" s="5"/>
      <c r="S933" s="22"/>
    </row>
    <row r="934" spans="5:19" ht="12.75" x14ac:dyDescent="0.2">
      <c r="E934" s="7"/>
      <c r="G934" s="13"/>
      <c r="H934" s="4"/>
      <c r="I934" s="4"/>
      <c r="J934" s="4"/>
      <c r="K934" s="4"/>
      <c r="L934" s="4"/>
      <c r="M934" s="4"/>
      <c r="N934" s="4"/>
      <c r="O934" s="16"/>
      <c r="P934" s="19"/>
      <c r="Q934" s="5"/>
      <c r="S934" s="22"/>
    </row>
    <row r="935" spans="5:19" ht="12.75" x14ac:dyDescent="0.2">
      <c r="E935" s="7"/>
      <c r="G935" s="13"/>
      <c r="H935" s="4"/>
      <c r="I935" s="4"/>
      <c r="J935" s="4"/>
      <c r="K935" s="4"/>
      <c r="L935" s="4"/>
      <c r="M935" s="4"/>
      <c r="N935" s="4"/>
      <c r="O935" s="16"/>
      <c r="P935" s="19"/>
      <c r="Q935" s="5"/>
      <c r="S935" s="22"/>
    </row>
    <row r="936" spans="5:19" ht="12.75" x14ac:dyDescent="0.2">
      <c r="E936" s="7"/>
      <c r="G936" s="13"/>
      <c r="H936" s="4"/>
      <c r="I936" s="4"/>
      <c r="J936" s="4"/>
      <c r="K936" s="4"/>
      <c r="L936" s="4"/>
      <c r="M936" s="4"/>
      <c r="N936" s="4"/>
      <c r="O936" s="16"/>
      <c r="P936" s="19"/>
      <c r="Q936" s="5"/>
      <c r="S936" s="22"/>
    </row>
    <row r="937" spans="5:19" ht="12.75" x14ac:dyDescent="0.2">
      <c r="E937" s="7"/>
      <c r="G937" s="13"/>
      <c r="H937" s="4"/>
      <c r="I937" s="4"/>
      <c r="J937" s="4"/>
      <c r="K937" s="4"/>
      <c r="L937" s="4"/>
      <c r="M937" s="4"/>
      <c r="N937" s="4"/>
      <c r="O937" s="16"/>
      <c r="P937" s="19"/>
      <c r="Q937" s="5"/>
      <c r="S937" s="22"/>
    </row>
    <row r="938" spans="5:19" ht="12.75" x14ac:dyDescent="0.2">
      <c r="E938" s="7"/>
      <c r="G938" s="13"/>
      <c r="H938" s="4"/>
      <c r="I938" s="4"/>
      <c r="J938" s="4"/>
      <c r="K938" s="4"/>
      <c r="L938" s="4"/>
      <c r="M938" s="4"/>
      <c r="N938" s="4"/>
      <c r="O938" s="16"/>
      <c r="P938" s="19"/>
      <c r="Q938" s="5"/>
      <c r="S938" s="22"/>
    </row>
    <row r="939" spans="5:19" ht="12.75" x14ac:dyDescent="0.2">
      <c r="E939" s="7"/>
      <c r="G939" s="13"/>
      <c r="H939" s="4"/>
      <c r="I939" s="4"/>
      <c r="J939" s="4"/>
      <c r="K939" s="4"/>
      <c r="L939" s="4"/>
      <c r="M939" s="4"/>
      <c r="N939" s="4"/>
      <c r="O939" s="16"/>
      <c r="P939" s="19"/>
      <c r="Q939" s="5"/>
      <c r="S939" s="22"/>
    </row>
    <row r="940" spans="5:19" ht="12.75" x14ac:dyDescent="0.2">
      <c r="E940" s="7"/>
      <c r="G940" s="13"/>
      <c r="H940" s="4"/>
      <c r="I940" s="4"/>
      <c r="J940" s="4"/>
      <c r="K940" s="4"/>
      <c r="L940" s="4"/>
      <c r="M940" s="4"/>
      <c r="N940" s="4"/>
      <c r="O940" s="16"/>
      <c r="P940" s="19"/>
      <c r="Q940" s="5"/>
      <c r="S940" s="22"/>
    </row>
    <row r="941" spans="5:19" ht="12.75" x14ac:dyDescent="0.2">
      <c r="E941" s="7"/>
      <c r="G941" s="13"/>
      <c r="H941" s="4"/>
      <c r="I941" s="4"/>
      <c r="J941" s="4"/>
      <c r="K941" s="4"/>
      <c r="L941" s="4"/>
      <c r="M941" s="4"/>
      <c r="N941" s="4"/>
      <c r="O941" s="16"/>
      <c r="P941" s="19"/>
      <c r="Q941" s="5"/>
      <c r="S941" s="22"/>
    </row>
    <row r="942" spans="5:19" ht="12.75" x14ac:dyDescent="0.2">
      <c r="E942" s="7"/>
      <c r="G942" s="13"/>
      <c r="H942" s="4"/>
      <c r="I942" s="4"/>
      <c r="J942" s="4"/>
      <c r="K942" s="4"/>
      <c r="L942" s="4"/>
      <c r="M942" s="4"/>
      <c r="N942" s="4"/>
      <c r="O942" s="16"/>
      <c r="P942" s="19"/>
      <c r="Q942" s="5"/>
      <c r="S942" s="22"/>
    </row>
    <row r="943" spans="5:19" ht="12.75" x14ac:dyDescent="0.2">
      <c r="E943" s="7"/>
      <c r="G943" s="13"/>
      <c r="H943" s="4"/>
      <c r="I943" s="4"/>
      <c r="J943" s="4"/>
      <c r="K943" s="4"/>
      <c r="L943" s="4"/>
      <c r="M943" s="4"/>
      <c r="N943" s="4"/>
      <c r="O943" s="16"/>
      <c r="P943" s="19"/>
      <c r="Q943" s="5"/>
      <c r="S943" s="22"/>
    </row>
    <row r="944" spans="5:19" ht="12.75" x14ac:dyDescent="0.2">
      <c r="E944" s="7"/>
      <c r="G944" s="13"/>
      <c r="H944" s="4"/>
      <c r="I944" s="4"/>
      <c r="J944" s="4"/>
      <c r="K944" s="4"/>
      <c r="L944" s="4"/>
      <c r="M944" s="4"/>
      <c r="N944" s="4"/>
      <c r="O944" s="16"/>
      <c r="P944" s="19"/>
      <c r="Q944" s="5"/>
      <c r="S944" s="22"/>
    </row>
    <row r="945" spans="5:19" ht="12.75" x14ac:dyDescent="0.2">
      <c r="E945" s="7"/>
      <c r="G945" s="13"/>
      <c r="H945" s="4"/>
      <c r="I945" s="4"/>
      <c r="J945" s="4"/>
      <c r="K945" s="4"/>
      <c r="L945" s="4"/>
      <c r="M945" s="4"/>
      <c r="N945" s="4"/>
      <c r="O945" s="16"/>
      <c r="P945" s="19"/>
      <c r="Q945" s="5"/>
      <c r="S945" s="22"/>
    </row>
    <row r="946" spans="5:19" ht="12.75" x14ac:dyDescent="0.2">
      <c r="E946" s="7"/>
      <c r="G946" s="13"/>
      <c r="H946" s="4"/>
      <c r="I946" s="4"/>
      <c r="J946" s="4"/>
      <c r="K946" s="4"/>
      <c r="L946" s="4"/>
      <c r="M946" s="4"/>
      <c r="N946" s="4"/>
      <c r="O946" s="16"/>
      <c r="P946" s="19"/>
      <c r="Q946" s="5"/>
      <c r="S946" s="22"/>
    </row>
    <row r="947" spans="5:19" ht="12.75" x14ac:dyDescent="0.2">
      <c r="E947" s="7"/>
      <c r="G947" s="13"/>
      <c r="H947" s="4"/>
      <c r="I947" s="4"/>
      <c r="J947" s="4"/>
      <c r="K947" s="4"/>
      <c r="L947" s="4"/>
      <c r="M947" s="4"/>
      <c r="N947" s="4"/>
      <c r="O947" s="16"/>
      <c r="P947" s="19"/>
      <c r="Q947" s="5"/>
      <c r="S947" s="22"/>
    </row>
    <row r="948" spans="5:19" ht="12.75" x14ac:dyDescent="0.2">
      <c r="E948" s="7"/>
      <c r="G948" s="13"/>
      <c r="H948" s="4"/>
      <c r="I948" s="4"/>
      <c r="J948" s="4"/>
      <c r="K948" s="4"/>
      <c r="L948" s="4"/>
      <c r="M948" s="4"/>
      <c r="N948" s="4"/>
      <c r="O948" s="16"/>
      <c r="P948" s="19"/>
      <c r="Q948" s="5"/>
      <c r="S948" s="22"/>
    </row>
    <row r="949" spans="5:19" ht="12.75" x14ac:dyDescent="0.2">
      <c r="E949" s="7"/>
      <c r="G949" s="13"/>
      <c r="H949" s="4"/>
      <c r="I949" s="4"/>
      <c r="J949" s="4"/>
      <c r="K949" s="4"/>
      <c r="L949" s="4"/>
      <c r="M949" s="4"/>
      <c r="N949" s="4"/>
      <c r="O949" s="16"/>
      <c r="P949" s="19"/>
      <c r="Q949" s="5"/>
      <c r="S949" s="22"/>
    </row>
    <row r="950" spans="5:19" ht="12.75" x14ac:dyDescent="0.2">
      <c r="E950" s="7"/>
      <c r="G950" s="13"/>
      <c r="H950" s="4"/>
      <c r="I950" s="4"/>
      <c r="J950" s="4"/>
      <c r="K950" s="4"/>
      <c r="L950" s="4"/>
      <c r="M950" s="4"/>
      <c r="N950" s="4"/>
      <c r="O950" s="16"/>
      <c r="P950" s="19"/>
      <c r="Q950" s="5"/>
      <c r="S950" s="22"/>
    </row>
    <row r="951" spans="5:19" ht="12.75" x14ac:dyDescent="0.2">
      <c r="E951" s="7"/>
      <c r="G951" s="13"/>
      <c r="H951" s="4"/>
      <c r="I951" s="4"/>
      <c r="J951" s="4"/>
      <c r="K951" s="4"/>
      <c r="L951" s="4"/>
      <c r="M951" s="4"/>
      <c r="N951" s="4"/>
      <c r="O951" s="16"/>
      <c r="P951" s="19"/>
      <c r="Q951" s="5"/>
      <c r="S951" s="22"/>
    </row>
    <row r="952" spans="5:19" ht="12.75" x14ac:dyDescent="0.2">
      <c r="E952" s="7"/>
      <c r="G952" s="13"/>
      <c r="H952" s="4"/>
      <c r="I952" s="4"/>
      <c r="J952" s="4"/>
      <c r="K952" s="4"/>
      <c r="L952" s="4"/>
      <c r="M952" s="4"/>
      <c r="N952" s="4"/>
      <c r="O952" s="16"/>
      <c r="P952" s="19"/>
      <c r="Q952" s="5"/>
      <c r="S952" s="22"/>
    </row>
    <row r="953" spans="5:19" ht="12.75" x14ac:dyDescent="0.2">
      <c r="E953" s="7"/>
      <c r="G953" s="13"/>
      <c r="H953" s="4"/>
      <c r="I953" s="4"/>
      <c r="J953" s="4"/>
      <c r="K953" s="4"/>
      <c r="L953" s="4"/>
      <c r="M953" s="4"/>
      <c r="N953" s="4"/>
      <c r="O953" s="16"/>
      <c r="P953" s="19"/>
      <c r="Q953" s="5"/>
      <c r="S953" s="22"/>
    </row>
    <row r="954" spans="5:19" ht="12.75" x14ac:dyDescent="0.2">
      <c r="E954" s="7"/>
      <c r="G954" s="13"/>
      <c r="H954" s="4"/>
      <c r="I954" s="4"/>
      <c r="J954" s="4"/>
      <c r="K954" s="4"/>
      <c r="L954" s="4"/>
      <c r="M954" s="4"/>
      <c r="N954" s="4"/>
      <c r="O954" s="16"/>
      <c r="P954" s="19"/>
      <c r="Q954" s="5"/>
      <c r="S954" s="22"/>
    </row>
    <row r="955" spans="5:19" ht="12.75" x14ac:dyDescent="0.2">
      <c r="E955" s="7"/>
      <c r="G955" s="13"/>
      <c r="H955" s="4"/>
      <c r="I955" s="4"/>
      <c r="J955" s="4"/>
      <c r="K955" s="4"/>
      <c r="L955" s="4"/>
      <c r="M955" s="4"/>
      <c r="N955" s="4"/>
      <c r="O955" s="16"/>
      <c r="P955" s="19"/>
      <c r="Q955" s="5"/>
      <c r="S955" s="22"/>
    </row>
    <row r="956" spans="5:19" ht="12.75" x14ac:dyDescent="0.2">
      <c r="E956" s="7"/>
      <c r="G956" s="13"/>
      <c r="H956" s="4"/>
      <c r="I956" s="4"/>
      <c r="J956" s="4"/>
      <c r="K956" s="4"/>
      <c r="L956" s="4"/>
      <c r="M956" s="4"/>
      <c r="N956" s="4"/>
      <c r="O956" s="16"/>
      <c r="P956" s="19"/>
      <c r="Q956" s="5"/>
      <c r="S956" s="22"/>
    </row>
    <row r="957" spans="5:19" ht="12.75" x14ac:dyDescent="0.2">
      <c r="E957" s="7"/>
      <c r="G957" s="13"/>
      <c r="H957" s="4"/>
      <c r="I957" s="4"/>
      <c r="J957" s="4"/>
      <c r="K957" s="4"/>
      <c r="L957" s="4"/>
      <c r="M957" s="4"/>
      <c r="N957" s="4"/>
      <c r="O957" s="16"/>
      <c r="P957" s="19"/>
      <c r="Q957" s="5"/>
      <c r="S957" s="22"/>
    </row>
    <row r="958" spans="5:19" ht="12.75" x14ac:dyDescent="0.2">
      <c r="E958" s="7"/>
      <c r="G958" s="13"/>
      <c r="H958" s="4"/>
      <c r="I958" s="4"/>
      <c r="J958" s="4"/>
      <c r="K958" s="4"/>
      <c r="L958" s="4"/>
      <c r="M958" s="4"/>
      <c r="N958" s="4"/>
      <c r="O958" s="16"/>
      <c r="P958" s="19"/>
      <c r="Q958" s="5"/>
      <c r="S958" s="22"/>
    </row>
    <row r="959" spans="5:19" ht="12.75" x14ac:dyDescent="0.2">
      <c r="E959" s="7"/>
      <c r="G959" s="13"/>
      <c r="H959" s="4"/>
      <c r="I959" s="4"/>
      <c r="J959" s="4"/>
      <c r="K959" s="4"/>
      <c r="L959" s="4"/>
      <c r="M959" s="4"/>
      <c r="N959" s="4"/>
      <c r="O959" s="16"/>
      <c r="P959" s="19"/>
      <c r="Q959" s="5"/>
      <c r="S959" s="22"/>
    </row>
    <row r="960" spans="5:19" ht="12.75" x14ac:dyDescent="0.2">
      <c r="E960" s="7"/>
      <c r="G960" s="13"/>
      <c r="H960" s="4"/>
      <c r="I960" s="4"/>
      <c r="J960" s="4"/>
      <c r="K960" s="4"/>
      <c r="L960" s="4"/>
      <c r="M960" s="4"/>
      <c r="N960" s="4"/>
      <c r="O960" s="16"/>
      <c r="P960" s="19"/>
      <c r="Q960" s="5"/>
      <c r="S960" s="22"/>
    </row>
    <row r="961" spans="5:19" ht="12.75" x14ac:dyDescent="0.2">
      <c r="E961" s="7"/>
      <c r="G961" s="13"/>
      <c r="H961" s="4"/>
      <c r="I961" s="4"/>
      <c r="J961" s="4"/>
      <c r="K961" s="4"/>
      <c r="L961" s="4"/>
      <c r="M961" s="4"/>
      <c r="N961" s="4"/>
      <c r="O961" s="16"/>
      <c r="P961" s="19"/>
      <c r="Q961" s="5"/>
      <c r="S961" s="22"/>
    </row>
    <row r="962" spans="5:19" ht="12.75" x14ac:dyDescent="0.2">
      <c r="E962" s="7"/>
      <c r="G962" s="13"/>
      <c r="H962" s="4"/>
      <c r="I962" s="4"/>
      <c r="J962" s="4"/>
      <c r="K962" s="4"/>
      <c r="L962" s="4"/>
      <c r="M962" s="4"/>
      <c r="N962" s="4"/>
      <c r="O962" s="16"/>
      <c r="P962" s="19"/>
      <c r="Q962" s="5"/>
      <c r="S962" s="22"/>
    </row>
    <row r="963" spans="5:19" ht="12.75" x14ac:dyDescent="0.2">
      <c r="E963" s="7"/>
      <c r="G963" s="13"/>
      <c r="H963" s="4"/>
      <c r="I963" s="4"/>
      <c r="J963" s="4"/>
      <c r="K963" s="4"/>
      <c r="L963" s="4"/>
      <c r="M963" s="4"/>
      <c r="N963" s="4"/>
      <c r="O963" s="16"/>
      <c r="P963" s="19"/>
      <c r="Q963" s="5"/>
      <c r="S963" s="22"/>
    </row>
    <row r="964" spans="5:19" ht="12.75" x14ac:dyDescent="0.2">
      <c r="E964" s="7"/>
      <c r="G964" s="13"/>
      <c r="H964" s="4"/>
      <c r="I964" s="4"/>
      <c r="J964" s="4"/>
      <c r="K964" s="4"/>
      <c r="L964" s="4"/>
      <c r="M964" s="4"/>
      <c r="N964" s="4"/>
      <c r="O964" s="16"/>
      <c r="P964" s="19"/>
      <c r="Q964" s="5"/>
      <c r="S964" s="22"/>
    </row>
    <row r="965" spans="5:19" ht="12.75" x14ac:dyDescent="0.2">
      <c r="E965" s="7"/>
      <c r="G965" s="13"/>
      <c r="H965" s="4"/>
      <c r="I965" s="4"/>
      <c r="J965" s="4"/>
      <c r="K965" s="4"/>
      <c r="L965" s="4"/>
      <c r="M965" s="4"/>
      <c r="N965" s="4"/>
      <c r="O965" s="16"/>
      <c r="P965" s="19"/>
      <c r="Q965" s="5"/>
      <c r="S965" s="22"/>
    </row>
    <row r="966" spans="5:19" ht="12.75" x14ac:dyDescent="0.2">
      <c r="E966" s="7"/>
      <c r="G966" s="13"/>
      <c r="H966" s="4"/>
      <c r="I966" s="4"/>
      <c r="J966" s="4"/>
      <c r="K966" s="4"/>
      <c r="L966" s="4"/>
      <c r="M966" s="4"/>
      <c r="N966" s="4"/>
      <c r="O966" s="16"/>
      <c r="P966" s="19"/>
      <c r="Q966" s="5"/>
      <c r="S966" s="22"/>
    </row>
    <row r="967" spans="5:19" ht="12.75" x14ac:dyDescent="0.2">
      <c r="E967" s="7"/>
      <c r="G967" s="13"/>
      <c r="H967" s="4"/>
      <c r="I967" s="4"/>
      <c r="J967" s="4"/>
      <c r="K967" s="4"/>
      <c r="L967" s="4"/>
      <c r="M967" s="4"/>
      <c r="N967" s="4"/>
      <c r="O967" s="16"/>
      <c r="P967" s="19"/>
      <c r="Q967" s="5"/>
      <c r="S967" s="22"/>
    </row>
    <row r="968" spans="5:19" ht="12.75" x14ac:dyDescent="0.2">
      <c r="E968" s="7"/>
      <c r="G968" s="13"/>
      <c r="H968" s="4"/>
      <c r="I968" s="4"/>
      <c r="J968" s="4"/>
      <c r="K968" s="4"/>
      <c r="L968" s="4"/>
      <c r="M968" s="4"/>
      <c r="N968" s="4"/>
      <c r="O968" s="16"/>
      <c r="P968" s="19"/>
      <c r="Q968" s="5"/>
      <c r="S968" s="22"/>
    </row>
    <row r="969" spans="5:19" ht="12.75" x14ac:dyDescent="0.2">
      <c r="E969" s="7"/>
      <c r="G969" s="13"/>
      <c r="H969" s="4"/>
      <c r="I969" s="4"/>
      <c r="J969" s="4"/>
      <c r="K969" s="4"/>
      <c r="L969" s="4"/>
      <c r="M969" s="4"/>
      <c r="N969" s="4"/>
      <c r="O969" s="16"/>
      <c r="P969" s="19"/>
      <c r="Q969" s="5"/>
      <c r="S969" s="22"/>
    </row>
    <row r="970" spans="5:19" ht="12.75" x14ac:dyDescent="0.2">
      <c r="E970" s="7"/>
      <c r="G970" s="13"/>
      <c r="H970" s="4"/>
      <c r="I970" s="4"/>
      <c r="J970" s="4"/>
      <c r="K970" s="4"/>
      <c r="L970" s="4"/>
      <c r="M970" s="4"/>
      <c r="N970" s="4"/>
      <c r="O970" s="16"/>
      <c r="P970" s="19"/>
      <c r="Q970" s="5"/>
      <c r="S970" s="22"/>
    </row>
    <row r="971" spans="5:19" ht="12.75" x14ac:dyDescent="0.2">
      <c r="E971" s="7"/>
      <c r="G971" s="13"/>
      <c r="H971" s="4"/>
      <c r="I971" s="4"/>
      <c r="J971" s="4"/>
      <c r="K971" s="4"/>
      <c r="L971" s="4"/>
      <c r="M971" s="4"/>
      <c r="N971" s="4"/>
      <c r="O971" s="16"/>
      <c r="P971" s="19"/>
      <c r="Q971" s="5"/>
      <c r="S971" s="22"/>
    </row>
    <row r="972" spans="5:19" ht="12.75" x14ac:dyDescent="0.2">
      <c r="E972" s="7"/>
      <c r="G972" s="13"/>
      <c r="H972" s="4"/>
      <c r="I972" s="4"/>
      <c r="J972" s="4"/>
      <c r="K972" s="4"/>
      <c r="L972" s="4"/>
      <c r="M972" s="4"/>
      <c r="N972" s="4"/>
      <c r="O972" s="16"/>
      <c r="P972" s="19"/>
      <c r="Q972" s="5"/>
      <c r="S972" s="22"/>
    </row>
    <row r="973" spans="5:19" ht="12.75" x14ac:dyDescent="0.2">
      <c r="E973" s="7"/>
      <c r="G973" s="13"/>
      <c r="H973" s="4"/>
      <c r="I973" s="4"/>
      <c r="J973" s="4"/>
      <c r="K973" s="4"/>
      <c r="L973" s="4"/>
      <c r="M973" s="4"/>
      <c r="N973" s="4"/>
      <c r="O973" s="16"/>
      <c r="P973" s="19"/>
      <c r="Q973" s="5"/>
      <c r="S973" s="22"/>
    </row>
    <row r="974" spans="5:19" ht="12.75" x14ac:dyDescent="0.2">
      <c r="E974" s="7"/>
      <c r="G974" s="13"/>
      <c r="H974" s="4"/>
      <c r="I974" s="4"/>
      <c r="J974" s="4"/>
      <c r="K974" s="4"/>
      <c r="L974" s="4"/>
      <c r="M974" s="4"/>
      <c r="N974" s="4"/>
      <c r="O974" s="16"/>
      <c r="P974" s="19"/>
      <c r="Q974" s="5"/>
      <c r="S974" s="22"/>
    </row>
    <row r="975" spans="5:19" ht="12.75" x14ac:dyDescent="0.2">
      <c r="E975" s="7"/>
      <c r="G975" s="13"/>
      <c r="H975" s="4"/>
      <c r="I975" s="4"/>
      <c r="J975" s="4"/>
      <c r="K975" s="4"/>
      <c r="L975" s="4"/>
      <c r="M975" s="4"/>
      <c r="N975" s="4"/>
      <c r="O975" s="16"/>
      <c r="P975" s="19"/>
      <c r="Q975" s="5"/>
      <c r="S975" s="22"/>
    </row>
    <row r="976" spans="5:19" ht="12.75" x14ac:dyDescent="0.2">
      <c r="E976" s="7"/>
      <c r="G976" s="13"/>
      <c r="H976" s="4"/>
      <c r="I976" s="4"/>
      <c r="J976" s="4"/>
      <c r="K976" s="4"/>
      <c r="L976" s="4"/>
      <c r="M976" s="4"/>
      <c r="N976" s="4"/>
      <c r="O976" s="16"/>
      <c r="P976" s="19"/>
      <c r="Q976" s="5"/>
      <c r="S976" s="22"/>
    </row>
    <row r="977" spans="5:19" ht="12.75" x14ac:dyDescent="0.2">
      <c r="E977" s="7"/>
      <c r="G977" s="13"/>
      <c r="H977" s="4"/>
      <c r="I977" s="4"/>
      <c r="J977" s="4"/>
      <c r="K977" s="4"/>
      <c r="L977" s="4"/>
      <c r="M977" s="4"/>
      <c r="N977" s="4"/>
      <c r="O977" s="16"/>
      <c r="P977" s="19"/>
      <c r="Q977" s="5"/>
      <c r="S977" s="22"/>
    </row>
    <row r="978" spans="5:19" ht="12.75" x14ac:dyDescent="0.2">
      <c r="E978" s="7"/>
      <c r="G978" s="13"/>
      <c r="H978" s="4"/>
      <c r="I978" s="4"/>
      <c r="J978" s="4"/>
      <c r="K978" s="4"/>
      <c r="L978" s="4"/>
      <c r="M978" s="4"/>
      <c r="N978" s="4"/>
      <c r="O978" s="16"/>
      <c r="P978" s="19"/>
      <c r="Q978" s="5"/>
      <c r="S978" s="22"/>
    </row>
    <row r="979" spans="5:19" ht="12.75" x14ac:dyDescent="0.2">
      <c r="E979" s="7"/>
      <c r="G979" s="13"/>
      <c r="H979" s="4"/>
      <c r="I979" s="4"/>
      <c r="J979" s="4"/>
      <c r="K979" s="4"/>
      <c r="L979" s="4"/>
      <c r="M979" s="4"/>
      <c r="N979" s="4"/>
      <c r="O979" s="16"/>
      <c r="P979" s="19"/>
      <c r="Q979" s="5"/>
      <c r="S979" s="22"/>
    </row>
    <row r="980" spans="5:19" ht="12.75" x14ac:dyDescent="0.2">
      <c r="E980" s="7"/>
      <c r="G980" s="13"/>
      <c r="H980" s="4"/>
      <c r="I980" s="4"/>
      <c r="J980" s="4"/>
      <c r="K980" s="4"/>
      <c r="L980" s="4"/>
      <c r="M980" s="4"/>
      <c r="N980" s="4"/>
      <c r="O980" s="16"/>
      <c r="P980" s="19"/>
      <c r="Q980" s="5"/>
      <c r="S980" s="22"/>
    </row>
    <row r="981" spans="5:19" ht="12.75" x14ac:dyDescent="0.2">
      <c r="E981" s="7"/>
      <c r="G981" s="13"/>
      <c r="H981" s="4"/>
      <c r="I981" s="4"/>
      <c r="J981" s="4"/>
      <c r="K981" s="4"/>
      <c r="L981" s="4"/>
      <c r="M981" s="4"/>
      <c r="N981" s="4"/>
      <c r="O981" s="16"/>
      <c r="P981" s="19"/>
      <c r="Q981" s="5"/>
      <c r="S981" s="22"/>
    </row>
    <row r="982" spans="5:19" ht="12.75" x14ac:dyDescent="0.2">
      <c r="E982" s="7"/>
      <c r="G982" s="13"/>
      <c r="H982" s="4"/>
      <c r="I982" s="4"/>
      <c r="J982" s="4"/>
      <c r="K982" s="4"/>
      <c r="L982" s="4"/>
      <c r="M982" s="4"/>
      <c r="N982" s="4"/>
      <c r="O982" s="16"/>
      <c r="P982" s="19"/>
      <c r="Q982" s="5"/>
      <c r="S982" s="22"/>
    </row>
    <row r="983" spans="5:19" ht="12.75" x14ac:dyDescent="0.2">
      <c r="E983" s="7"/>
      <c r="G983" s="13"/>
      <c r="H983" s="4"/>
      <c r="I983" s="4"/>
      <c r="J983" s="4"/>
      <c r="K983" s="4"/>
      <c r="L983" s="4"/>
      <c r="M983" s="4"/>
      <c r="N983" s="4"/>
      <c r="O983" s="16"/>
      <c r="P983" s="19"/>
      <c r="Q983" s="5"/>
      <c r="S983" s="22"/>
    </row>
    <row r="984" spans="5:19" ht="12.75" x14ac:dyDescent="0.2">
      <c r="E984" s="7"/>
      <c r="G984" s="13"/>
      <c r="H984" s="4"/>
      <c r="I984" s="4"/>
      <c r="J984" s="4"/>
      <c r="K984" s="4"/>
      <c r="L984" s="4"/>
      <c r="M984" s="4"/>
      <c r="N984" s="4"/>
      <c r="O984" s="16"/>
      <c r="P984" s="19"/>
      <c r="Q984" s="5"/>
      <c r="S984" s="22"/>
    </row>
    <row r="985" spans="5:19" ht="12.75" x14ac:dyDescent="0.2">
      <c r="E985" s="7"/>
      <c r="G985" s="13"/>
      <c r="H985" s="4"/>
      <c r="I985" s="4"/>
      <c r="J985" s="4"/>
      <c r="K985" s="4"/>
      <c r="L985" s="4"/>
      <c r="M985" s="4"/>
      <c r="N985" s="4"/>
      <c r="O985" s="16"/>
      <c r="P985" s="19"/>
      <c r="Q985" s="5"/>
      <c r="S985" s="22"/>
    </row>
    <row r="986" spans="5:19" ht="12.75" x14ac:dyDescent="0.2">
      <c r="E986" s="7"/>
      <c r="G986" s="13"/>
      <c r="H986" s="4"/>
      <c r="I986" s="4"/>
      <c r="J986" s="4"/>
      <c r="K986" s="4"/>
      <c r="L986" s="4"/>
      <c r="M986" s="4"/>
      <c r="N986" s="4"/>
      <c r="O986" s="16"/>
      <c r="P986" s="19"/>
      <c r="Q986" s="5"/>
      <c r="S986" s="22"/>
    </row>
    <row r="987" spans="5:19" ht="12.75" x14ac:dyDescent="0.2">
      <c r="E987" s="7"/>
      <c r="G987" s="13"/>
      <c r="H987" s="4"/>
      <c r="I987" s="4"/>
      <c r="J987" s="4"/>
      <c r="K987" s="4"/>
      <c r="L987" s="4"/>
      <c r="M987" s="4"/>
      <c r="N987" s="4"/>
      <c r="O987" s="16"/>
      <c r="P987" s="19"/>
      <c r="Q987" s="5"/>
      <c r="S987" s="22"/>
    </row>
    <row r="988" spans="5:19" ht="12.75" x14ac:dyDescent="0.2">
      <c r="E988" s="7"/>
      <c r="G988" s="13"/>
      <c r="H988" s="4"/>
      <c r="I988" s="4"/>
      <c r="J988" s="4"/>
      <c r="K988" s="4"/>
      <c r="L988" s="4"/>
      <c r="M988" s="4"/>
      <c r="N988" s="4"/>
      <c r="O988" s="16"/>
      <c r="P988" s="19"/>
      <c r="Q988" s="5"/>
      <c r="S988" s="22"/>
    </row>
    <row r="989" spans="5:19" ht="12.75" x14ac:dyDescent="0.2">
      <c r="E989" s="7"/>
      <c r="G989" s="13"/>
      <c r="H989" s="4"/>
      <c r="I989" s="4"/>
      <c r="J989" s="4"/>
      <c r="K989" s="4"/>
      <c r="L989" s="4"/>
      <c r="M989" s="4"/>
      <c r="N989" s="4"/>
      <c r="O989" s="16"/>
      <c r="P989" s="19"/>
      <c r="Q989" s="5"/>
      <c r="S989" s="22"/>
    </row>
    <row r="990" spans="5:19" ht="12.75" x14ac:dyDescent="0.2">
      <c r="E990" s="7"/>
      <c r="G990" s="13"/>
      <c r="H990" s="4"/>
      <c r="I990" s="4"/>
      <c r="J990" s="4"/>
      <c r="K990" s="4"/>
      <c r="L990" s="4"/>
      <c r="M990" s="4"/>
      <c r="N990" s="4"/>
      <c r="O990" s="16"/>
      <c r="P990" s="19"/>
      <c r="Q990" s="5"/>
      <c r="S990" s="22"/>
    </row>
    <row r="991" spans="5:19" ht="12.75" x14ac:dyDescent="0.2">
      <c r="E991" s="7"/>
      <c r="G991" s="13"/>
      <c r="H991" s="4"/>
      <c r="I991" s="4"/>
      <c r="J991" s="4"/>
      <c r="K991" s="4"/>
      <c r="L991" s="4"/>
      <c r="M991" s="4"/>
      <c r="N991" s="4"/>
      <c r="O991" s="16"/>
      <c r="P991" s="19"/>
      <c r="Q991" s="5"/>
      <c r="S991" s="22"/>
    </row>
    <row r="992" spans="5:19" ht="12.75" x14ac:dyDescent="0.2">
      <c r="E992" s="7"/>
      <c r="G992" s="13"/>
      <c r="H992" s="4"/>
      <c r="I992" s="4"/>
      <c r="J992" s="4"/>
      <c r="K992" s="4"/>
      <c r="L992" s="4"/>
      <c r="M992" s="4"/>
      <c r="N992" s="4"/>
      <c r="O992" s="16"/>
      <c r="P992" s="19"/>
      <c r="Q992" s="5"/>
      <c r="S992" s="22"/>
    </row>
    <row r="993" spans="5:19" ht="12.75" x14ac:dyDescent="0.2">
      <c r="E993" s="7"/>
      <c r="G993" s="13"/>
      <c r="H993" s="4"/>
      <c r="I993" s="4"/>
      <c r="J993" s="4"/>
      <c r="K993" s="4"/>
      <c r="L993" s="4"/>
      <c r="M993" s="4"/>
      <c r="N993" s="4"/>
      <c r="O993" s="16"/>
      <c r="P993" s="19"/>
      <c r="Q993" s="5"/>
      <c r="S993" s="22"/>
    </row>
    <row r="994" spans="5:19" ht="12.75" x14ac:dyDescent="0.2">
      <c r="E994" s="7"/>
      <c r="G994" s="13"/>
      <c r="H994" s="4"/>
      <c r="I994" s="4"/>
      <c r="J994" s="4"/>
      <c r="K994" s="4"/>
      <c r="L994" s="4"/>
      <c r="M994" s="4"/>
      <c r="N994" s="4"/>
      <c r="O994" s="16"/>
      <c r="P994" s="19"/>
      <c r="Q994" s="5"/>
      <c r="S994" s="22"/>
    </row>
    <row r="995" spans="5:19" ht="12.75" x14ac:dyDescent="0.2">
      <c r="E995" s="7"/>
      <c r="G995" s="13"/>
      <c r="H995" s="4"/>
      <c r="I995" s="4"/>
      <c r="J995" s="4"/>
      <c r="K995" s="4"/>
      <c r="L995" s="4"/>
      <c r="M995" s="4"/>
      <c r="N995" s="4"/>
      <c r="O995" s="16"/>
      <c r="P995" s="19"/>
      <c r="Q995" s="5"/>
      <c r="S995" s="22"/>
    </row>
    <row r="996" spans="5:19" ht="12.75" x14ac:dyDescent="0.2">
      <c r="E996" s="7"/>
      <c r="G996" s="13"/>
      <c r="H996" s="4"/>
      <c r="I996" s="4"/>
      <c r="J996" s="4"/>
      <c r="K996" s="4"/>
      <c r="L996" s="4"/>
      <c r="M996" s="4"/>
      <c r="N996" s="4"/>
      <c r="O996" s="16"/>
      <c r="P996" s="19"/>
      <c r="Q996" s="5"/>
      <c r="S996" s="22"/>
    </row>
    <row r="997" spans="5:19" ht="12.75" x14ac:dyDescent="0.2">
      <c r="E997" s="7"/>
      <c r="G997" s="13"/>
      <c r="H997" s="4"/>
      <c r="I997" s="4"/>
      <c r="J997" s="4"/>
      <c r="K997" s="4"/>
      <c r="L997" s="4"/>
      <c r="M997" s="4"/>
      <c r="N997" s="4"/>
      <c r="O997" s="16"/>
      <c r="P997" s="19"/>
      <c r="Q997" s="5"/>
      <c r="S997" s="22"/>
    </row>
    <row r="998" spans="5:19" ht="12.75" x14ac:dyDescent="0.2">
      <c r="E998" s="7"/>
      <c r="G998" s="13"/>
      <c r="H998" s="4"/>
      <c r="I998" s="4"/>
      <c r="J998" s="4"/>
      <c r="K998" s="4"/>
      <c r="L998" s="4"/>
      <c r="M998" s="4"/>
      <c r="N998" s="4"/>
      <c r="O998" s="16"/>
      <c r="P998" s="19"/>
      <c r="Q998" s="5"/>
      <c r="S998" s="22"/>
    </row>
    <row r="999" spans="5:19" ht="12.75" x14ac:dyDescent="0.2">
      <c r="E999" s="7"/>
      <c r="G999" s="13"/>
      <c r="H999" s="4"/>
      <c r="I999" s="4"/>
      <c r="J999" s="4"/>
      <c r="K999" s="4"/>
      <c r="L999" s="4"/>
      <c r="M999" s="4"/>
      <c r="N999" s="4"/>
      <c r="O999" s="16"/>
      <c r="P999" s="19"/>
      <c r="Q999" s="5"/>
      <c r="S999" s="22"/>
    </row>
    <row r="1000" spans="5:19" ht="12.75" x14ac:dyDescent="0.2">
      <c r="E1000" s="7"/>
      <c r="G1000" s="13"/>
      <c r="H1000" s="4"/>
      <c r="I1000" s="4"/>
      <c r="J1000" s="4"/>
      <c r="K1000" s="4"/>
      <c r="L1000" s="4"/>
      <c r="M1000" s="4"/>
      <c r="N1000" s="4"/>
      <c r="O1000" s="16"/>
      <c r="P1000" s="19"/>
      <c r="Q1000" s="5"/>
      <c r="S1000" s="22"/>
    </row>
  </sheetData>
  <conditionalFormatting sqref="A1:S701">
    <cfRule type="containsBlanks" dxfId="0" priority="1">
      <formula>LEN(TRIM(A1))=0</formula>
    </cfRule>
  </conditionalFormatting>
  <pageMargins left="0" right="0" top="0" bottom="0" header="0" footer="0"/>
  <ignoredErrors>
    <ignoredError sqref="M11" formula="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Charts</vt:lpstr>
      <vt:lpstr>Pivot Tables</vt:lpstr>
      <vt:lpstr>Slicers</vt:lpstr>
      <vt:lpstr>Analysis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Wanjiku Waweru</cp:lastModifiedBy>
  <cp:revision/>
  <dcterms:created xsi:type="dcterms:W3CDTF">2024-10-02T07:42:44Z</dcterms:created>
  <dcterms:modified xsi:type="dcterms:W3CDTF">2026-06-09T23:16:20Z</dcterms:modified>
  <cp:category/>
  <cp:contentStatus/>
</cp:coreProperties>
</file>